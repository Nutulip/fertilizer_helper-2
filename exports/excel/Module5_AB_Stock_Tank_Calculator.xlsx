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k Allocation Breakdown" sheetId="1" state="visible" r:id="rId1"/>
    <sheet name="Fe-Chelate pH Sel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A2E35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Mass ratio: Tank A vs Tank B (1000 L @ 100x)</a:t>
            </a:r>
          </a:p>
        </rich>
      </tx>
    </title>
    <plotArea>
      <doughnutChart>
        <varyColors val="1"/>
        <ser>
          <idx val="0"/>
          <order val="0"/>
          <tx>
            <strRef>
              <f>'Tank Allocation Breakdown'!B19</f>
            </strRef>
          </tx>
          <spPr>
            <a:ln>
              <a:prstDash val="solid"/>
            </a:ln>
          </spPr>
          <cat>
            <numRef>
              <f>'Tank Allocation Breakdown'!$A$20:$A$21</f>
            </numRef>
          </cat>
          <val>
            <numRef>
              <f>'Tank Allocation Breakdown'!$B$20:$B$21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Fe-chelate pH stability envelopes (WUR Figure 3a, p.35)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'Fe-Chelate pH Selector'!B1</f>
            </strRef>
          </tx>
          <spPr>
            <a:ln>
              <a:prstDash val="solid"/>
            </a:ln>
          </spPr>
          <cat>
            <numRef>
              <f>'Fe-Chelate pH Selector'!$A$2:$A$5</f>
            </numRef>
          </cat>
          <val>
            <numRef>
              <f>'Fe-Chelate pH Selector'!$B$2:$B$5</f>
            </numRef>
          </val>
        </ser>
        <ser>
          <idx val="1"/>
          <order val="1"/>
          <tx>
            <strRef>
              <f>'Fe-Chelate pH Selector'!C1</f>
            </strRef>
          </tx>
          <spPr>
            <a:ln>
              <a:prstDash val="solid"/>
            </a:ln>
          </spPr>
          <cat>
            <numRef>
              <f>'Fe-Chelate pH Selector'!$A$2:$A$5</f>
            </numRef>
          </cat>
          <val>
            <numRef>
              <f>'Fe-Chelate pH Selector'!$C$2:$C$5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18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Tank 母液罐</t>
        </is>
      </c>
      <c r="B1" s="1" t="inlineStr">
        <is>
          <t>Fertiliser 肥料</t>
        </is>
      </c>
      <c r="C1" s="1" t="inlineStr">
        <is>
          <t>Chinese 中文</t>
        </is>
      </c>
      <c r="D1" s="1" t="inlineStr">
        <is>
          <t>Formula 化学式</t>
        </is>
      </c>
      <c r="E1" s="1" t="inlineStr">
        <is>
          <t>Amount (mmol/L or umol/L) 浓度</t>
        </is>
      </c>
      <c r="F1" s="1" t="inlineStr">
        <is>
          <t>Mass (kg) 质量</t>
        </is>
      </c>
      <c r="G1" s="1" t="inlineStr">
        <is>
          <t>Volume (L) 体积</t>
        </is>
      </c>
      <c r="H1" s="1" t="inlineStr">
        <is>
          <t>Micronutrient 微量</t>
        </is>
      </c>
    </row>
    <row r="2">
      <c r="A2" s="2" t="inlineStr">
        <is>
          <t>A</t>
        </is>
      </c>
      <c r="B2" s="2" t="inlineStr">
        <is>
          <t>Calcium chloride anhydrous</t>
        </is>
      </c>
      <c r="C2" s="2" t="inlineStr">
        <is>
          <t>无水氯化钙</t>
        </is>
      </c>
      <c r="D2" s="2" t="inlineStr">
        <is>
          <t>CaCl2</t>
        </is>
      </c>
      <c r="E2" s="2" t="n">
        <v>0.5</v>
      </c>
      <c r="F2" s="2" t="n">
        <v>5.55</v>
      </c>
      <c r="G2" s="2" t="inlineStr"/>
      <c r="H2" s="2" t="inlineStr"/>
    </row>
    <row r="3">
      <c r="A3" s="3" t="inlineStr">
        <is>
          <t>A</t>
        </is>
      </c>
      <c r="B3" s="3" t="inlineStr">
        <is>
          <t>Calcium nitrate solid</t>
        </is>
      </c>
      <c r="C3" s="3" t="inlineStr">
        <is>
          <t>固体硝酸钙</t>
        </is>
      </c>
      <c r="D3" s="3" t="inlineStr">
        <is>
          <t>5[Ca(NO3)2.2H2O].NH4NO3</t>
        </is>
      </c>
      <c r="E3" s="3" t="n">
        <v>0.98</v>
      </c>
      <c r="F3" s="3" t="n">
        <v>105.84</v>
      </c>
      <c r="G3" s="3" t="inlineStr"/>
      <c r="H3" s="3" t="inlineStr"/>
    </row>
    <row r="4">
      <c r="A4" s="2" t="inlineStr">
        <is>
          <t>A</t>
        </is>
      </c>
      <c r="B4" s="2" t="inlineStr">
        <is>
          <t>Iron chelate Fe-DTPA 6%</t>
        </is>
      </c>
      <c r="C4" s="2" t="inlineStr">
        <is>
          <t>铁螯合物 Fe-DTPA 6%</t>
        </is>
      </c>
      <c r="D4" s="2" t="inlineStr">
        <is>
          <t>Fe-DTPA</t>
        </is>
      </c>
      <c r="E4" s="2" t="n">
        <v>11.25</v>
      </c>
      <c r="F4" s="2" t="n">
        <v>1.047</v>
      </c>
      <c r="G4" s="2" t="inlineStr"/>
      <c r="H4" s="2" t="inlineStr">
        <is>
          <t>yes</t>
        </is>
      </c>
    </row>
    <row r="5">
      <c r="A5" s="3" t="inlineStr">
        <is>
          <t>A</t>
        </is>
      </c>
      <c r="B5" s="3" t="inlineStr">
        <is>
          <t>Iron chelate Fe-EDDHA 6%</t>
        </is>
      </c>
      <c r="C5" s="3" t="inlineStr">
        <is>
          <t>铁螯合物 Fe-EDDHA 6%</t>
        </is>
      </c>
      <c r="D5" s="3" t="inlineStr">
        <is>
          <t>Fe-EDDHA</t>
        </is>
      </c>
      <c r="E5" s="3" t="n">
        <v>3.75</v>
      </c>
      <c r="F5" s="3" t="n">
        <v>0.349</v>
      </c>
      <c r="G5" s="3" t="inlineStr"/>
      <c r="H5" s="3" t="inlineStr">
        <is>
          <t>yes</t>
        </is>
      </c>
    </row>
    <row r="6">
      <c r="A6" s="2" t="inlineStr">
        <is>
          <t>A</t>
        </is>
      </c>
      <c r="B6" s="2" t="inlineStr">
        <is>
          <t>Manganese EDTA 13%</t>
        </is>
      </c>
      <c r="C6" s="2" t="inlineStr">
        <is>
          <t>锰螯合物 Mn-EDTA 13%</t>
        </is>
      </c>
      <c r="D6" s="2" t="inlineStr">
        <is>
          <t>Mn-EDTA</t>
        </is>
      </c>
      <c r="E6" s="2" t="n">
        <v>10</v>
      </c>
      <c r="F6" s="2" t="n">
        <v>0.423</v>
      </c>
      <c r="G6" s="2" t="inlineStr"/>
      <c r="H6" s="2" t="inlineStr">
        <is>
          <t>yes</t>
        </is>
      </c>
    </row>
    <row r="7">
      <c r="A7" s="3" t="inlineStr">
        <is>
          <t>A</t>
        </is>
      </c>
      <c r="B7" s="3" t="inlineStr">
        <is>
          <t>Zinc EDTA 15%</t>
        </is>
      </c>
      <c r="C7" s="3" t="inlineStr">
        <is>
          <t>锌螯合物 Zn-EDTA 15%</t>
        </is>
      </c>
      <c r="D7" s="3" t="inlineStr">
        <is>
          <t>Zn-EDTA</t>
        </is>
      </c>
      <c r="E7" s="3" t="n">
        <v>5</v>
      </c>
      <c r="F7" s="3" t="n">
        <v>0.218</v>
      </c>
      <c r="G7" s="3" t="inlineStr"/>
      <c r="H7" s="3" t="inlineStr">
        <is>
          <t>yes</t>
        </is>
      </c>
    </row>
    <row r="8">
      <c r="A8" s="2" t="inlineStr">
        <is>
          <t>A</t>
        </is>
      </c>
      <c r="B8" s="2" t="inlineStr">
        <is>
          <t>Copper EDTA 15%</t>
        </is>
      </c>
      <c r="C8" s="2" t="inlineStr">
        <is>
          <t>铜螯合物 Cu-EDTA 15%</t>
        </is>
      </c>
      <c r="D8" s="2" t="inlineStr">
        <is>
          <t>Cu-EDTA</t>
        </is>
      </c>
      <c r="E8" s="2" t="n">
        <v>0.75</v>
      </c>
      <c r="F8" s="2" t="n">
        <v>0.032</v>
      </c>
      <c r="G8" s="2" t="inlineStr"/>
      <c r="H8" s="2" t="inlineStr">
        <is>
          <t>yes</t>
        </is>
      </c>
    </row>
    <row r="9">
      <c r="A9" s="3" t="inlineStr">
        <is>
          <t>A</t>
        </is>
      </c>
      <c r="B9" s="3" t="inlineStr">
        <is>
          <t>Potassium nitrate</t>
        </is>
      </c>
      <c r="C9" s="3" t="inlineStr">
        <is>
          <t>硝酸钾</t>
        </is>
      </c>
      <c r="D9" s="3" t="inlineStr">
        <is>
          <t>KNO3</t>
        </is>
      </c>
      <c r="E9" s="3" t="n">
        <v>2.1489</v>
      </c>
      <c r="F9" s="3" t="n">
        <v>21.726</v>
      </c>
      <c r="G9" s="3" t="inlineStr"/>
      <c r="H9" s="3" t="inlineStr"/>
    </row>
    <row r="10">
      <c r="A10" s="2" t="inlineStr">
        <is>
          <t>B</t>
        </is>
      </c>
      <c r="B10" s="2" t="inlineStr">
        <is>
          <t>Monoammonium phosphate</t>
        </is>
      </c>
      <c r="C10" s="2" t="inlineStr">
        <is>
          <t>磷酸一铵</t>
        </is>
      </c>
      <c r="D10" s="2" t="inlineStr">
        <is>
          <t>NH4H2PO4</t>
        </is>
      </c>
      <c r="E10" s="2" t="n">
        <v>0.22</v>
      </c>
      <c r="F10" s="2" t="n">
        <v>2.53</v>
      </c>
      <c r="G10" s="2" t="inlineStr"/>
      <c r="H10" s="2" t="inlineStr"/>
    </row>
    <row r="11">
      <c r="A11" s="3" t="inlineStr">
        <is>
          <t>B</t>
        </is>
      </c>
      <c r="B11" s="3" t="inlineStr">
        <is>
          <t>Monopotassium phosphate</t>
        </is>
      </c>
      <c r="C11" s="3" t="inlineStr">
        <is>
          <t>磷酸二氢钾</t>
        </is>
      </c>
      <c r="D11" s="3" t="inlineStr">
        <is>
          <t>KH2PO4</t>
        </is>
      </c>
      <c r="E11" s="3" t="n">
        <v>1.28</v>
      </c>
      <c r="F11" s="3" t="n">
        <v>17.421</v>
      </c>
      <c r="G11" s="3" t="inlineStr"/>
      <c r="H11" s="3" t="inlineStr"/>
    </row>
    <row r="12">
      <c r="A12" s="2" t="inlineStr">
        <is>
          <t>B</t>
        </is>
      </c>
      <c r="B12" s="2" t="inlineStr">
        <is>
          <t>Magnesium sulphate</t>
        </is>
      </c>
      <c r="C12" s="2" t="inlineStr">
        <is>
          <t>七水硫酸镁</t>
        </is>
      </c>
      <c r="D12" s="2" t="inlineStr">
        <is>
          <t>MgSO4.7H2O</t>
        </is>
      </c>
      <c r="E12" s="2" t="n">
        <v>2.4</v>
      </c>
      <c r="F12" s="2" t="n">
        <v>59.136</v>
      </c>
      <c r="G12" s="2" t="inlineStr"/>
      <c r="H12" s="2" t="inlineStr"/>
    </row>
    <row r="13">
      <c r="A13" s="3" t="inlineStr">
        <is>
          <t>B</t>
        </is>
      </c>
      <c r="B13" s="3" t="inlineStr">
        <is>
          <t>Potassium sulphate</t>
        </is>
      </c>
      <c r="C13" s="3" t="inlineStr">
        <is>
          <t>硫酸钾</t>
        </is>
      </c>
      <c r="D13" s="3" t="inlineStr">
        <is>
          <t>K2SO4</t>
        </is>
      </c>
      <c r="E13" s="3" t="n">
        <v>2</v>
      </c>
      <c r="F13" s="3" t="n">
        <v>34.86</v>
      </c>
      <c r="G13" s="3" t="inlineStr"/>
      <c r="H13" s="3" t="inlineStr"/>
    </row>
    <row r="14">
      <c r="A14" s="2" t="inlineStr">
        <is>
          <t>B</t>
        </is>
      </c>
      <c r="B14" s="2" t="inlineStr">
        <is>
          <t>Borax 11.3% B</t>
        </is>
      </c>
      <c r="C14" s="2" t="inlineStr">
        <is>
          <t>硼砂 11.3% B</t>
        </is>
      </c>
      <c r="D14" s="2" t="inlineStr">
        <is>
          <t>Na2B4O7.10H2O</t>
        </is>
      </c>
      <c r="E14" s="2" t="n">
        <v>30</v>
      </c>
      <c r="F14" s="2" t="n">
        <v>0.287</v>
      </c>
      <c r="G14" s="2" t="inlineStr"/>
      <c r="H14" s="2" t="inlineStr">
        <is>
          <t>yes</t>
        </is>
      </c>
    </row>
    <row r="15">
      <c r="A15" s="3" t="inlineStr">
        <is>
          <t>B</t>
        </is>
      </c>
      <c r="B15" s="3" t="inlineStr">
        <is>
          <t>Sodium molybdate 39.6%</t>
        </is>
      </c>
      <c r="C15" s="3" t="inlineStr">
        <is>
          <t>钼酸钠 39.6%</t>
        </is>
      </c>
      <c r="D15" s="3" t="inlineStr">
        <is>
          <t>Na2MoO4.2H2O</t>
        </is>
      </c>
      <c r="E15" s="3" t="n">
        <v>0.5</v>
      </c>
      <c r="F15" s="3" t="n">
        <v>0.012</v>
      </c>
      <c r="G15" s="3" t="inlineStr"/>
      <c r="H15" s="3" t="inlineStr">
        <is>
          <t>yes</t>
        </is>
      </c>
    </row>
    <row r="16">
      <c r="A16" s="2" t="inlineStr">
        <is>
          <t>B</t>
        </is>
      </c>
      <c r="B16" s="2" t="inlineStr">
        <is>
          <t>Potassium nitrate</t>
        </is>
      </c>
      <c r="C16" s="2" t="inlineStr">
        <is>
          <t>硝酸钾</t>
        </is>
      </c>
      <c r="D16" s="2" t="inlineStr">
        <is>
          <t>KNO3</t>
        </is>
      </c>
      <c r="E16" s="2" t="n">
        <v>2.0711</v>
      </c>
      <c r="F16" s="2" t="n">
        <v>20.938</v>
      </c>
      <c r="G16" s="2" t="inlineStr"/>
      <c r="H16" s="2" t="inlineStr"/>
    </row>
    <row r="19">
      <c r="A19" s="4" t="inlineStr">
        <is>
          <t>Tank 母液罐</t>
        </is>
      </c>
      <c r="B19" s="4" t="inlineStr">
        <is>
          <t>Total mass (kg) 总质量</t>
        </is>
      </c>
    </row>
    <row r="20">
      <c r="A20" t="inlineStr">
        <is>
          <t>A</t>
        </is>
      </c>
      <c r="B20" t="n">
        <v>135.18</v>
      </c>
    </row>
    <row r="21">
      <c r="A21" t="inlineStr">
        <is>
          <t>B</t>
        </is>
      </c>
      <c r="B21" t="n">
        <v>135.18</v>
      </c>
    </row>
    <row r="23">
      <c r="A23" s="5" t="inlineStr">
        <is>
          <t>Calcium fertilisers are separated from phosphate and sulphate absolutely (WUR p.31): at 100x both CaSO4 and Ca3(PO4)2 are far past saturation. 钙肥必须与磷酸盐、硫酸盐分罐。</t>
        </is>
      </c>
    </row>
  </sheetData>
  <conditionalFormatting sqref="F2:F16">
    <cfRule type="dataBar" priority="1">
      <dataBar>
        <cfvo type="min"/>
        <cfvo type="max"/>
        <color rgb="004A2E3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Chelate 螯合物</t>
        </is>
      </c>
      <c r="B1" s="1" t="inlineStr">
        <is>
          <t>pH min 下限</t>
        </is>
      </c>
      <c r="C1" s="1" t="inlineStr">
        <is>
          <t>pH max 上限</t>
        </is>
      </c>
      <c r="D1" s="1" t="inlineStr">
        <is>
          <t>Recommended above pH 6.5 高pH推荐</t>
        </is>
      </c>
    </row>
    <row r="2">
      <c r="A2" s="2" t="inlineStr">
        <is>
          <t>fe_edta</t>
        </is>
      </c>
      <c r="B2" s="2" t="n">
        <v>1.5</v>
      </c>
      <c r="C2" s="2" t="n">
        <v>6.5</v>
      </c>
      <c r="D2" s="2" t="inlineStr">
        <is>
          <t>no</t>
        </is>
      </c>
    </row>
    <row r="3">
      <c r="A3" s="3" t="inlineStr">
        <is>
          <t>fe_dtpa</t>
        </is>
      </c>
      <c r="B3" s="3" t="n">
        <v>1.5</v>
      </c>
      <c r="C3" s="3" t="n">
        <v>7.5</v>
      </c>
      <c r="D3" s="3" t="inlineStr">
        <is>
          <t>no</t>
        </is>
      </c>
    </row>
    <row r="4">
      <c r="A4" s="2" t="inlineStr">
        <is>
          <t>fe_eddha</t>
        </is>
      </c>
      <c r="B4" s="2" t="n">
        <v>3</v>
      </c>
      <c r="C4" s="2" t="n">
        <v>10</v>
      </c>
      <c r="D4" s="2" t="inlineStr">
        <is>
          <t>YES</t>
        </is>
      </c>
    </row>
    <row r="5">
      <c r="A5" s="3" t="inlineStr">
        <is>
          <t>fe_hbed</t>
        </is>
      </c>
      <c r="B5" s="3" t="n">
        <v>3</v>
      </c>
      <c r="C5" s="3" t="n">
        <v>12</v>
      </c>
      <c r="D5" s="3" t="inlineStr">
        <is>
          <t>YES</t>
        </is>
      </c>
    </row>
    <row r="7">
      <c r="A7" s="5" t="inlineStr">
        <is>
          <t>Switch point pH 6.5 (WUR p.36), not 7.0. Below it DTPA suffices; above it EDDHA/HBED is strongly recommended. 切换点为 pH 6.5。</t>
        </is>
      </c>
    </row>
  </sheetData>
  <conditionalFormatting sqref="D2:D5">
    <cfRule type="cellIs" priority="1" operator="equal" dxfId="0">
      <formula>"YES"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2026-08-21T17:14:58Z</dcterms:created>
  <dcterms:modified xsi:type="dcterms:W3CDTF">2026-08-21T17:14:58Z</dcterms:modified>
</cp:coreProperties>
</file>