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ing Vegetables" sheetId="1" state="visible" r:id="rId1"/>
    <sheet name="Soft Fruits" sheetId="2" state="visible" r:id="rId2"/>
    <sheet name="Leafy Vegetables" sheetId="3" state="visible" r:id="rId3"/>
    <sheet name="Cut Flowers" sheetId="4" state="visible" r:id="rId4"/>
    <sheet name="Potted Pl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Fruiting Vegetables: Target EC and key cations by crop/stage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'Fruiting Vegetables'!I1</f>
            </strRef>
          </tx>
          <spPr>
            <a:ln>
              <a:prstDash val="solid"/>
            </a:ln>
          </spPr>
          <cat>
            <numRef>
              <f>'Fruiting Vegetables'!$B$2:$B$26</f>
            </numRef>
          </cat>
          <val>
            <numRef>
              <f>'Fruiting Vegetables'!$I$2:$I$26</f>
            </numRef>
          </val>
        </ser>
        <ser>
          <idx val="1"/>
          <order val="1"/>
          <tx>
            <strRef>
              <f>'Fruiting Vegetables'!O1</f>
            </strRef>
          </tx>
          <spPr>
            <a:ln>
              <a:prstDash val="solid"/>
            </a:ln>
          </spPr>
          <cat>
            <numRef>
              <f>'Fruiting Vegetables'!$B$2:$B$26</f>
            </numRef>
          </cat>
          <val>
            <numRef>
              <f>'Fruiting Vegetables'!$O$2:$O$26</f>
            </numRef>
          </val>
        </ser>
        <ser>
          <idx val="2"/>
          <order val="2"/>
          <tx>
            <strRef>
              <f>'Fruiting Vegetables'!P1</f>
            </strRef>
          </tx>
          <spPr>
            <a:ln>
              <a:prstDash val="solid"/>
            </a:ln>
          </spPr>
          <cat>
            <numRef>
              <f>'Fruiting Vegetables'!$B$2:$B$26</f>
            </numRef>
          </cat>
          <val>
            <numRef>
              <f>'Fruiting Vegetables'!$P$2:$P$26</f>
            </numRef>
          </val>
        </ser>
        <ser>
          <idx val="3"/>
          <order val="3"/>
          <tx>
            <strRef>
              <f>'Fruiting Vegetables'!Q1</f>
            </strRef>
          </tx>
          <spPr>
            <a:ln>
              <a:prstDash val="solid"/>
            </a:ln>
          </spPr>
          <cat>
            <numRef>
              <f>'Fruiting Vegetables'!$B$2:$B$26</f>
            </numRef>
          </cat>
          <val>
            <numRef>
              <f>'Fruiting Vegetables'!$Q$2:$Q$26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mmol/L  ·  EC in mS/cm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Soft Fruits: Target EC and key cations by crop/stage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'Soft Fruits'!I1</f>
            </strRef>
          </tx>
          <spPr>
            <a:ln>
              <a:prstDash val="solid"/>
            </a:ln>
          </spPr>
          <cat>
            <numRef>
              <f>'Soft Fruits'!$B$2:$B$12</f>
            </numRef>
          </cat>
          <val>
            <numRef>
              <f>'Soft Fruits'!$I$2:$I$12</f>
            </numRef>
          </val>
        </ser>
        <ser>
          <idx val="1"/>
          <order val="1"/>
          <tx>
            <strRef>
              <f>'Soft Fruits'!O1</f>
            </strRef>
          </tx>
          <spPr>
            <a:ln>
              <a:prstDash val="solid"/>
            </a:ln>
          </spPr>
          <cat>
            <numRef>
              <f>'Soft Fruits'!$B$2:$B$12</f>
            </numRef>
          </cat>
          <val>
            <numRef>
              <f>'Soft Fruits'!$O$2:$O$12</f>
            </numRef>
          </val>
        </ser>
        <ser>
          <idx val="2"/>
          <order val="2"/>
          <tx>
            <strRef>
              <f>'Soft Fruits'!P1</f>
            </strRef>
          </tx>
          <spPr>
            <a:ln>
              <a:prstDash val="solid"/>
            </a:ln>
          </spPr>
          <cat>
            <numRef>
              <f>'Soft Fruits'!$B$2:$B$12</f>
            </numRef>
          </cat>
          <val>
            <numRef>
              <f>'Soft Fruits'!$P$2:$P$12</f>
            </numRef>
          </val>
        </ser>
        <ser>
          <idx val="3"/>
          <order val="3"/>
          <tx>
            <strRef>
              <f>'Soft Fruits'!Q1</f>
            </strRef>
          </tx>
          <spPr>
            <a:ln>
              <a:prstDash val="solid"/>
            </a:ln>
          </spPr>
          <cat>
            <numRef>
              <f>'Soft Fruits'!$B$2:$B$12</f>
            </numRef>
          </cat>
          <val>
            <numRef>
              <f>'Soft Fruits'!$Q$2:$Q$12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mmol/L  ·  EC in mS/cm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Leafy Vegetables: Target EC and key cations by crop/stage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'Leafy Vegetables'!I1</f>
            </strRef>
          </tx>
          <spPr>
            <a:ln>
              <a:prstDash val="solid"/>
            </a:ln>
          </spPr>
          <cat>
            <numRef>
              <f>'Leafy Vegetables'!$B$2:$B$6</f>
            </numRef>
          </cat>
          <val>
            <numRef>
              <f>'Leafy Vegetables'!$I$2:$I$6</f>
            </numRef>
          </val>
        </ser>
        <ser>
          <idx val="1"/>
          <order val="1"/>
          <tx>
            <strRef>
              <f>'Leafy Vegetables'!O1</f>
            </strRef>
          </tx>
          <spPr>
            <a:ln>
              <a:prstDash val="solid"/>
            </a:ln>
          </spPr>
          <cat>
            <numRef>
              <f>'Leafy Vegetables'!$B$2:$B$6</f>
            </numRef>
          </cat>
          <val>
            <numRef>
              <f>'Leafy Vegetables'!$O$2:$O$6</f>
            </numRef>
          </val>
        </ser>
        <ser>
          <idx val="2"/>
          <order val="2"/>
          <tx>
            <strRef>
              <f>'Leafy Vegetables'!P1</f>
            </strRef>
          </tx>
          <spPr>
            <a:ln>
              <a:prstDash val="solid"/>
            </a:ln>
          </spPr>
          <cat>
            <numRef>
              <f>'Leafy Vegetables'!$B$2:$B$6</f>
            </numRef>
          </cat>
          <val>
            <numRef>
              <f>'Leafy Vegetables'!$P$2:$P$6</f>
            </numRef>
          </val>
        </ser>
        <ser>
          <idx val="3"/>
          <order val="3"/>
          <tx>
            <strRef>
              <f>'Leafy Vegetables'!Q1</f>
            </strRef>
          </tx>
          <spPr>
            <a:ln>
              <a:prstDash val="solid"/>
            </a:ln>
          </spPr>
          <cat>
            <numRef>
              <f>'Leafy Vegetables'!$B$2:$B$6</f>
            </numRef>
          </cat>
          <val>
            <numRef>
              <f>'Leafy Vegetables'!$Q$2:$Q$6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mmol/L  ·  EC in mS/cm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Cut Flowers: Target EC and key cations by crop/stage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'Cut Flowers'!I1</f>
            </strRef>
          </tx>
          <spPr>
            <a:ln>
              <a:prstDash val="solid"/>
            </a:ln>
          </spPr>
          <cat>
            <numRef>
              <f>'Cut Flowers'!$B$2:$B$26</f>
            </numRef>
          </cat>
          <val>
            <numRef>
              <f>'Cut Flowers'!$I$2:$I$26</f>
            </numRef>
          </val>
        </ser>
        <ser>
          <idx val="1"/>
          <order val="1"/>
          <tx>
            <strRef>
              <f>'Cut Flowers'!O1</f>
            </strRef>
          </tx>
          <spPr>
            <a:ln>
              <a:prstDash val="solid"/>
            </a:ln>
          </spPr>
          <cat>
            <numRef>
              <f>'Cut Flowers'!$B$2:$B$26</f>
            </numRef>
          </cat>
          <val>
            <numRef>
              <f>'Cut Flowers'!$O$2:$O$26</f>
            </numRef>
          </val>
        </ser>
        <ser>
          <idx val="2"/>
          <order val="2"/>
          <tx>
            <strRef>
              <f>'Cut Flowers'!P1</f>
            </strRef>
          </tx>
          <spPr>
            <a:ln>
              <a:prstDash val="solid"/>
            </a:ln>
          </spPr>
          <cat>
            <numRef>
              <f>'Cut Flowers'!$B$2:$B$26</f>
            </numRef>
          </cat>
          <val>
            <numRef>
              <f>'Cut Flowers'!$P$2:$P$26</f>
            </numRef>
          </val>
        </ser>
        <ser>
          <idx val="3"/>
          <order val="3"/>
          <tx>
            <strRef>
              <f>'Cut Flowers'!Q1</f>
            </strRef>
          </tx>
          <spPr>
            <a:ln>
              <a:prstDash val="solid"/>
            </a:ln>
          </spPr>
          <cat>
            <numRef>
              <f>'Cut Flowers'!$B$2:$B$26</f>
            </numRef>
          </cat>
          <val>
            <numRef>
              <f>'Cut Flowers'!$Q$2:$Q$26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mmol/L  ·  EC in mS/cm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Potted Plants: Target EC and key cations by crop/stage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'Potted Plants'!I1</f>
            </strRef>
          </tx>
          <spPr>
            <a:ln>
              <a:prstDash val="solid"/>
            </a:ln>
          </spPr>
          <cat>
            <numRef>
              <f>'Potted Plants'!$B$2:$B$11</f>
            </numRef>
          </cat>
          <val>
            <numRef>
              <f>'Potted Plants'!$I$2:$I$11</f>
            </numRef>
          </val>
        </ser>
        <ser>
          <idx val="1"/>
          <order val="1"/>
          <tx>
            <strRef>
              <f>'Potted Plants'!O1</f>
            </strRef>
          </tx>
          <spPr>
            <a:ln>
              <a:prstDash val="solid"/>
            </a:ln>
          </spPr>
          <cat>
            <numRef>
              <f>'Potted Plants'!$B$2:$B$11</f>
            </numRef>
          </cat>
          <val>
            <numRef>
              <f>'Potted Plants'!$O$2:$O$11</f>
            </numRef>
          </val>
        </ser>
        <ser>
          <idx val="2"/>
          <order val="2"/>
          <tx>
            <strRef>
              <f>'Potted Plants'!P1</f>
            </strRef>
          </tx>
          <spPr>
            <a:ln>
              <a:prstDash val="solid"/>
            </a:ln>
          </spPr>
          <cat>
            <numRef>
              <f>'Potted Plants'!$B$2:$B$11</f>
            </numRef>
          </cat>
          <val>
            <numRef>
              <f>'Potted Plants'!$P$2:$P$11</f>
            </numRef>
          </val>
        </ser>
        <ser>
          <idx val="3"/>
          <order val="3"/>
          <tx>
            <strRef>
              <f>'Potted Plants'!Q1</f>
            </strRef>
          </tx>
          <spPr>
            <a:ln>
              <a:prstDash val="solid"/>
            </a:ln>
          </spPr>
          <cat>
            <numRef>
              <f>'Potted Plants'!$B$2:$B$11</f>
            </numRef>
          </cat>
          <val>
            <numRef>
              <f>'Potted Plants'!$Q$2:$Q$11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mmol/L  ·  EC in mS/cm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category</t>
        </is>
      </c>
      <c r="B1" s="1" t="inlineStr">
        <is>
          <t>crop_id</t>
        </is>
      </c>
      <c r="C1" s="1" t="inlineStr">
        <is>
          <t>crop_en</t>
        </is>
      </c>
      <c r="D1" s="1" t="inlineStr">
        <is>
          <t>crop_zh</t>
        </is>
      </c>
      <c r="E1" s="1" t="inlineStr">
        <is>
          <t>substrate_type</t>
        </is>
      </c>
      <c r="F1" s="1" t="inlineStr">
        <is>
          <t>extract_method</t>
        </is>
      </c>
      <c r="G1" s="1" t="inlineStr">
        <is>
          <t>source_page</t>
        </is>
      </c>
      <c r="H1" s="1" t="inlineStr">
        <is>
          <t>ec_root_zone</t>
        </is>
      </c>
      <c r="I1" s="1" t="inlineStr">
        <is>
          <t>ec_fertigation</t>
        </is>
      </c>
      <c r="J1" s="1" t="inlineStr">
        <is>
          <t>ph_fertigation</t>
        </is>
      </c>
      <c r="K1" s="1" t="inlineStr">
        <is>
          <t>growth_stage</t>
        </is>
      </c>
      <c r="L1" s="1" t="inlineStr">
        <is>
          <t>NH4_mmol_l</t>
        </is>
      </c>
      <c r="M1" s="1" t="inlineStr">
        <is>
          <t>NO3_mmol_l</t>
        </is>
      </c>
      <c r="N1" s="1" t="inlineStr">
        <is>
          <t>P_mmol_l</t>
        </is>
      </c>
      <c r="O1" s="1" t="inlineStr">
        <is>
          <t>K_mmol_l</t>
        </is>
      </c>
      <c r="P1" s="1" t="inlineStr">
        <is>
          <t>Ca_mmol_l</t>
        </is>
      </c>
      <c r="Q1" s="1" t="inlineStr">
        <is>
          <t>Mg_mmol_l</t>
        </is>
      </c>
      <c r="R1" s="1" t="inlineStr">
        <is>
          <t>S_mmol_l</t>
        </is>
      </c>
      <c r="S1" s="1" t="inlineStr">
        <is>
          <t>Cl_mmol_l</t>
        </is>
      </c>
      <c r="T1" s="1" t="inlineStr">
        <is>
          <t>Fe_umol_l</t>
        </is>
      </c>
      <c r="U1" s="1" t="inlineStr">
        <is>
          <t>Mn_umol_l</t>
        </is>
      </c>
      <c r="V1" s="1" t="inlineStr">
        <is>
          <t>Zn_umol_l</t>
        </is>
      </c>
      <c r="W1" s="1" t="inlineStr">
        <is>
          <t>B_umol_l</t>
        </is>
      </c>
      <c r="X1" s="1" t="inlineStr">
        <is>
          <t>Cu_umol_l</t>
        </is>
      </c>
      <c r="Y1" s="1" t="inlineStr">
        <is>
          <t>Mo_umol_l</t>
        </is>
      </c>
      <c r="Z1" s="1" t="inlineStr">
        <is>
          <t>Na_max_mmol_l</t>
        </is>
      </c>
    </row>
    <row r="2">
      <c r="A2" s="2" t="inlineStr">
        <is>
          <t>fruiting_vegetables</t>
        </is>
      </c>
      <c r="B2" s="2" t="inlineStr">
        <is>
          <t>cucumber</t>
        </is>
      </c>
      <c r="C2" s="2" t="inlineStr">
        <is>
          <t>Cucumber</t>
        </is>
      </c>
      <c r="D2" s="2" t="inlineStr">
        <is>
          <t>黄瓜</t>
        </is>
      </c>
      <c r="E2" s="2" t="inlineStr">
        <is>
          <t>INERT_SUBSTRATE</t>
        </is>
      </c>
      <c r="F2" s="2" t="inlineStr">
        <is>
          <t>direct</t>
        </is>
      </c>
      <c r="G2" s="2" t="n">
        <v>41</v>
      </c>
      <c r="H2" s="2" t="n">
        <v>3</v>
      </c>
      <c r="I2" s="2" t="n">
        <v>2.2</v>
      </c>
      <c r="J2" s="2" t="n">
        <v>5.3</v>
      </c>
      <c r="K2" s="2" t="inlineStr">
        <is>
          <t>fertigation</t>
        </is>
      </c>
      <c r="L2" s="2" t="n">
        <v>1.25</v>
      </c>
      <c r="M2" s="2" t="n">
        <v>16</v>
      </c>
      <c r="N2" s="2" t="n">
        <v>1.25</v>
      </c>
      <c r="O2" s="2" t="n">
        <v>8</v>
      </c>
      <c r="P2" s="2" t="n">
        <v>4</v>
      </c>
      <c r="Q2" s="2" t="n">
        <v>1.375</v>
      </c>
      <c r="R2" s="2" t="n">
        <v>1.375</v>
      </c>
      <c r="S2" s="2" t="n">
        <v>0</v>
      </c>
      <c r="T2" s="2" t="n">
        <v>15</v>
      </c>
      <c r="U2" s="2" t="n">
        <v>10</v>
      </c>
      <c r="V2" s="2" t="n">
        <v>5</v>
      </c>
      <c r="W2" s="2" t="n">
        <v>25</v>
      </c>
      <c r="X2" s="2" t="n">
        <v>0.75</v>
      </c>
      <c r="Y2" s="2" t="n">
        <v>0.5</v>
      </c>
      <c r="Z2" s="2" t="n">
        <v>6</v>
      </c>
    </row>
    <row r="3">
      <c r="A3" s="3" t="inlineStr">
        <is>
          <t>fruiting_vegetables</t>
        </is>
      </c>
      <c r="B3" s="3" t="inlineStr">
        <is>
          <t>cucumber</t>
        </is>
      </c>
      <c r="C3" s="3" t="inlineStr">
        <is>
          <t>Cucumber</t>
        </is>
      </c>
      <c r="D3" s="3" t="inlineStr">
        <is>
          <t>黄瓜</t>
        </is>
      </c>
      <c r="E3" s="3" t="inlineStr">
        <is>
          <t>INERT_SUBSTRATE</t>
        </is>
      </c>
      <c r="F3" s="3" t="inlineStr">
        <is>
          <t>direct</t>
        </is>
      </c>
      <c r="G3" s="3" t="n">
        <v>41</v>
      </c>
      <c r="H3" s="3" t="n">
        <v>3</v>
      </c>
      <c r="I3" s="3" t="n">
        <v>2.2</v>
      </c>
      <c r="J3" s="3" t="n">
        <v>5.3</v>
      </c>
      <c r="K3" s="3" t="inlineStr">
        <is>
          <t>start</t>
        </is>
      </c>
      <c r="L3" s="3" t="n">
        <v>0.75</v>
      </c>
      <c r="M3" s="3" t="n">
        <v>16</v>
      </c>
      <c r="N3" s="3" t="n">
        <v>1.25</v>
      </c>
      <c r="O3" s="3" t="n">
        <v>7</v>
      </c>
      <c r="P3" s="3" t="n">
        <v>4.5</v>
      </c>
      <c r="Q3" s="3" t="n">
        <v>1.625</v>
      </c>
      <c r="R3" s="3" t="n">
        <v>1.375</v>
      </c>
      <c r="S3" s="3" t="n">
        <v>0</v>
      </c>
      <c r="T3" s="3" t="n">
        <v>25</v>
      </c>
      <c r="U3" s="3" t="n">
        <v>10</v>
      </c>
      <c r="V3" s="3" t="n">
        <v>5</v>
      </c>
      <c r="W3" s="3" t="n">
        <v>35</v>
      </c>
      <c r="X3" s="3" t="n">
        <v>0.75</v>
      </c>
      <c r="Y3" s="3" t="n">
        <v>0.5</v>
      </c>
      <c r="Z3" s="3" t="n">
        <v>6</v>
      </c>
    </row>
    <row r="4">
      <c r="A4" s="2" t="inlineStr">
        <is>
          <t>fruiting_vegetables</t>
        </is>
      </c>
      <c r="B4" s="2" t="inlineStr">
        <is>
          <t>cucumber</t>
        </is>
      </c>
      <c r="C4" s="2" t="inlineStr">
        <is>
          <t>Cucumber</t>
        </is>
      </c>
      <c r="D4" s="2" t="inlineStr">
        <is>
          <t>黄瓜</t>
        </is>
      </c>
      <c r="E4" s="2" t="inlineStr">
        <is>
          <t>INERT_SUBSTRATE</t>
        </is>
      </c>
      <c r="F4" s="2" t="inlineStr">
        <is>
          <t>direct</t>
        </is>
      </c>
      <c r="G4" s="2" t="n">
        <v>41</v>
      </c>
      <c r="H4" s="2" t="n">
        <v>3</v>
      </c>
      <c r="I4" s="2" t="n">
        <v>2.2</v>
      </c>
      <c r="J4" s="2" t="n">
        <v>5.3</v>
      </c>
      <c r="K4" s="2" t="inlineStr">
        <is>
          <t>fruit_set</t>
        </is>
      </c>
      <c r="L4" s="2" t="n">
        <v>1.25</v>
      </c>
      <c r="M4" s="2" t="n">
        <v>17</v>
      </c>
      <c r="N4" s="2" t="n">
        <v>1.25</v>
      </c>
      <c r="O4" s="2" t="n">
        <v>9</v>
      </c>
      <c r="P4" s="2" t="n">
        <v>4</v>
      </c>
      <c r="Q4" s="2" t="n">
        <v>1.375</v>
      </c>
      <c r="R4" s="2" t="n">
        <v>1.375</v>
      </c>
      <c r="S4" s="2" t="n">
        <v>0</v>
      </c>
      <c r="T4" s="2" t="n">
        <v>15</v>
      </c>
      <c r="U4" s="2" t="n">
        <v>10</v>
      </c>
      <c r="V4" s="2" t="n">
        <v>5</v>
      </c>
      <c r="W4" s="2" t="n">
        <v>25</v>
      </c>
      <c r="X4" s="2" t="n">
        <v>0.75</v>
      </c>
      <c r="Y4" s="2" t="n">
        <v>0.5</v>
      </c>
      <c r="Z4" s="2" t="n">
        <v>6</v>
      </c>
    </row>
    <row r="5">
      <c r="A5" s="3" t="inlineStr">
        <is>
          <t>fruiting_vegetables</t>
        </is>
      </c>
      <c r="B5" s="3" t="inlineStr">
        <is>
          <t>cucumber</t>
        </is>
      </c>
      <c r="C5" s="3" t="inlineStr">
        <is>
          <t>Cucumber</t>
        </is>
      </c>
      <c r="D5" s="3" t="inlineStr">
        <is>
          <t>黄瓜</t>
        </is>
      </c>
      <c r="E5" s="3" t="inlineStr">
        <is>
          <t>INERT_SUBSTRATE</t>
        </is>
      </c>
      <c r="F5" s="3" t="inlineStr">
        <is>
          <t>direct</t>
        </is>
      </c>
      <c r="G5" s="3" t="n">
        <v>41</v>
      </c>
      <c r="H5" s="3" t="n">
        <v>3</v>
      </c>
      <c r="I5" s="3" t="n">
        <v>2.2</v>
      </c>
      <c r="J5" s="3" t="n">
        <v>5.3</v>
      </c>
      <c r="K5" s="3" t="inlineStr">
        <is>
          <t>end_season</t>
        </is>
      </c>
      <c r="L5" s="3" t="n">
        <v>0.25</v>
      </c>
      <c r="M5" s="3" t="n">
        <v>16</v>
      </c>
      <c r="N5" s="3" t="n">
        <v>0.25</v>
      </c>
      <c r="O5" s="3" t="n">
        <v>8</v>
      </c>
      <c r="P5" s="3" t="n">
        <v>4</v>
      </c>
      <c r="Q5" s="3" t="n">
        <v>1.375</v>
      </c>
      <c r="R5" s="3" t="n">
        <v>1.375</v>
      </c>
      <c r="S5" s="3" t="n">
        <v>0</v>
      </c>
      <c r="T5" s="3" t="n">
        <v>15</v>
      </c>
      <c r="U5" s="3" t="n">
        <v>10</v>
      </c>
      <c r="V5" s="3" t="n">
        <v>5</v>
      </c>
      <c r="W5" s="3" t="n">
        <v>25</v>
      </c>
      <c r="X5" s="3" t="n">
        <v>0.75</v>
      </c>
      <c r="Y5" s="3" t="n">
        <v>0.5</v>
      </c>
      <c r="Z5" s="3" t="n">
        <v>6</v>
      </c>
    </row>
    <row r="6">
      <c r="A6" s="2" t="inlineStr">
        <is>
          <t>fruiting_vegetables</t>
        </is>
      </c>
      <c r="B6" s="2" t="inlineStr">
        <is>
          <t>cucumber</t>
        </is>
      </c>
      <c r="C6" s="2" t="inlineStr">
        <is>
          <t>Cucumber</t>
        </is>
      </c>
      <c r="D6" s="2" t="inlineStr">
        <is>
          <t>黄瓜</t>
        </is>
      </c>
      <c r="E6" s="2" t="inlineStr">
        <is>
          <t>ORGANIC_MATERIAL</t>
        </is>
      </c>
      <c r="F6" s="2" t="inlineStr">
        <is>
          <t>1:1.5_volume</t>
        </is>
      </c>
      <c r="G6" s="2" t="n">
        <v>42</v>
      </c>
      <c r="H6" s="2" t="n">
        <v>1.4</v>
      </c>
      <c r="I6" s="2" t="n">
        <v>2.2</v>
      </c>
      <c r="J6" s="2" t="n">
        <v>5.3</v>
      </c>
      <c r="K6" s="2" t="inlineStr">
        <is>
          <t>fertigation</t>
        </is>
      </c>
      <c r="L6" s="2" t="n">
        <v>1</v>
      </c>
      <c r="M6" s="2" t="n">
        <v>16.75</v>
      </c>
      <c r="N6" s="2" t="n">
        <v>1.25</v>
      </c>
      <c r="O6" s="2" t="n">
        <v>8</v>
      </c>
      <c r="P6" s="2" t="n">
        <v>4.5</v>
      </c>
      <c r="Q6" s="2" t="n">
        <v>1.5</v>
      </c>
      <c r="R6" s="2" t="n">
        <v>1.5</v>
      </c>
      <c r="S6" s="2" t="n">
        <v>0</v>
      </c>
      <c r="T6" s="2" t="n">
        <v>30</v>
      </c>
      <c r="U6" s="2" t="n">
        <v>10</v>
      </c>
      <c r="V6" s="2" t="n">
        <v>5</v>
      </c>
      <c r="W6" s="2" t="n">
        <v>25</v>
      </c>
      <c r="X6" s="2" t="n">
        <v>0.75</v>
      </c>
      <c r="Y6" s="2" t="n">
        <v>0.5</v>
      </c>
      <c r="Z6" s="2" t="n">
        <v>2</v>
      </c>
    </row>
    <row r="7">
      <c r="A7" s="3" t="inlineStr">
        <is>
          <t>fruiting_vegetables</t>
        </is>
      </c>
      <c r="B7" s="3" t="inlineStr">
        <is>
          <t>cucumber</t>
        </is>
      </c>
      <c r="C7" s="3" t="inlineStr">
        <is>
          <t>Cucumber</t>
        </is>
      </c>
      <c r="D7" s="3" t="inlineStr">
        <is>
          <t>黄瓜</t>
        </is>
      </c>
      <c r="E7" s="3" t="inlineStr">
        <is>
          <t>ORGANIC_MATERIAL</t>
        </is>
      </c>
      <c r="F7" s="3" t="inlineStr">
        <is>
          <t>1:1.5_volume</t>
        </is>
      </c>
      <c r="G7" s="3" t="n">
        <v>42</v>
      </c>
      <c r="H7" s="3" t="n">
        <v>1.4</v>
      </c>
      <c r="I7" s="3" t="n">
        <v>2.2</v>
      </c>
      <c r="J7" s="3" t="n">
        <v>5.3</v>
      </c>
      <c r="K7" s="3" t="inlineStr">
        <is>
          <t>start</t>
        </is>
      </c>
      <c r="L7" s="3" t="n">
        <v>0.5</v>
      </c>
      <c r="M7" s="3" t="n">
        <v>16.75</v>
      </c>
      <c r="N7" s="3" t="n">
        <v>1.25</v>
      </c>
      <c r="O7" s="3" t="n">
        <v>7</v>
      </c>
      <c r="P7" s="3" t="n">
        <v>5</v>
      </c>
      <c r="Q7" s="3" t="n">
        <v>1.75</v>
      </c>
      <c r="R7" s="3" t="n">
        <v>1.5</v>
      </c>
      <c r="S7" s="3" t="n">
        <v>0</v>
      </c>
      <c r="T7" s="3" t="n">
        <v>40</v>
      </c>
      <c r="U7" s="3" t="n">
        <v>10</v>
      </c>
      <c r="V7" s="3" t="n">
        <v>5</v>
      </c>
      <c r="W7" s="3" t="n">
        <v>35</v>
      </c>
      <c r="X7" s="3" t="n">
        <v>0.75</v>
      </c>
      <c r="Y7" s="3" t="n">
        <v>0.5</v>
      </c>
      <c r="Z7" s="3" t="n">
        <v>2</v>
      </c>
    </row>
    <row r="8">
      <c r="A8" s="2" t="inlineStr">
        <is>
          <t>fruiting_vegetables</t>
        </is>
      </c>
      <c r="B8" s="2" t="inlineStr">
        <is>
          <t>cucumber</t>
        </is>
      </c>
      <c r="C8" s="2" t="inlineStr">
        <is>
          <t>Cucumber</t>
        </is>
      </c>
      <c r="D8" s="2" t="inlineStr">
        <is>
          <t>黄瓜</t>
        </is>
      </c>
      <c r="E8" s="2" t="inlineStr">
        <is>
          <t>ORGANIC_MATERIAL</t>
        </is>
      </c>
      <c r="F8" s="2" t="inlineStr">
        <is>
          <t>1:1.5_volume</t>
        </is>
      </c>
      <c r="G8" s="2" t="n">
        <v>42</v>
      </c>
      <c r="H8" s="2" t="n">
        <v>1.4</v>
      </c>
      <c r="I8" s="2" t="n">
        <v>2.2</v>
      </c>
      <c r="J8" s="2" t="n">
        <v>5.3</v>
      </c>
      <c r="K8" s="2" t="inlineStr">
        <is>
          <t>fruit_set</t>
        </is>
      </c>
      <c r="L8" s="2" t="n">
        <v>1</v>
      </c>
      <c r="M8" s="2" t="n">
        <v>17.75</v>
      </c>
      <c r="N8" s="2" t="n">
        <v>1.25</v>
      </c>
      <c r="O8" s="2" t="n">
        <v>9</v>
      </c>
      <c r="P8" s="2" t="n">
        <v>4.5</v>
      </c>
      <c r="Q8" s="2" t="n">
        <v>1.5</v>
      </c>
      <c r="R8" s="2" t="n">
        <v>1.5</v>
      </c>
      <c r="S8" s="2" t="n">
        <v>0</v>
      </c>
      <c r="T8" s="2" t="n">
        <v>30</v>
      </c>
      <c r="U8" s="2" t="n">
        <v>10</v>
      </c>
      <c r="V8" s="2" t="n">
        <v>5</v>
      </c>
      <c r="W8" s="2" t="n">
        <v>25</v>
      </c>
      <c r="X8" s="2" t="n">
        <v>0.75</v>
      </c>
      <c r="Y8" s="2" t="n">
        <v>0.5</v>
      </c>
      <c r="Z8" s="2" t="n">
        <v>2</v>
      </c>
    </row>
    <row r="9">
      <c r="A9" s="3" t="inlineStr">
        <is>
          <t>fruiting_vegetables</t>
        </is>
      </c>
      <c r="B9" s="3" t="inlineStr">
        <is>
          <t>cucumber</t>
        </is>
      </c>
      <c r="C9" s="3" t="inlineStr">
        <is>
          <t>Cucumber</t>
        </is>
      </c>
      <c r="D9" s="3" t="inlineStr">
        <is>
          <t>黄瓜</t>
        </is>
      </c>
      <c r="E9" s="3" t="inlineStr">
        <is>
          <t>ORGANIC_MATERIAL</t>
        </is>
      </c>
      <c r="F9" s="3" t="inlineStr">
        <is>
          <t>1:1.5_volume</t>
        </is>
      </c>
      <c r="G9" s="3" t="n">
        <v>42</v>
      </c>
      <c r="H9" s="3" t="n">
        <v>1.4</v>
      </c>
      <c r="I9" s="3" t="n">
        <v>2.2</v>
      </c>
      <c r="J9" s="3" t="n">
        <v>5.3</v>
      </c>
      <c r="K9" s="3" t="inlineStr">
        <is>
          <t>end_season</t>
        </is>
      </c>
      <c r="L9" s="3" t="n">
        <v>0</v>
      </c>
      <c r="M9" s="3" t="n">
        <v>16.75</v>
      </c>
      <c r="N9" s="3" t="n">
        <v>0.25</v>
      </c>
      <c r="O9" s="3" t="n">
        <v>8</v>
      </c>
      <c r="P9" s="3" t="n">
        <v>4.5</v>
      </c>
      <c r="Q9" s="3" t="n">
        <v>1.5</v>
      </c>
      <c r="R9" s="3" t="n">
        <v>1.5</v>
      </c>
      <c r="S9" s="3" t="n">
        <v>0</v>
      </c>
      <c r="T9" s="3" t="n">
        <v>30</v>
      </c>
      <c r="U9" s="3" t="n">
        <v>10</v>
      </c>
      <c r="V9" s="3" t="n">
        <v>5</v>
      </c>
      <c r="W9" s="3" t="n">
        <v>25</v>
      </c>
      <c r="X9" s="3" t="n">
        <v>0.75</v>
      </c>
      <c r="Y9" s="3" t="n">
        <v>0.5</v>
      </c>
      <c r="Z9" s="3" t="n">
        <v>2</v>
      </c>
    </row>
    <row r="10">
      <c r="A10" s="2" t="inlineStr">
        <is>
          <t>fruiting_vegetables</t>
        </is>
      </c>
      <c r="B10" s="2" t="inlineStr">
        <is>
          <t>cucumber</t>
        </is>
      </c>
      <c r="C10" s="2" t="inlineStr">
        <is>
          <t>Cucumber</t>
        </is>
      </c>
      <c r="D10" s="2" t="inlineStr">
        <is>
          <t>黄瓜</t>
        </is>
      </c>
      <c r="E10" s="2" t="inlineStr">
        <is>
          <t>SOIL</t>
        </is>
      </c>
      <c r="F10" s="2" t="inlineStr">
        <is>
          <t>1:2_volume</t>
        </is>
      </c>
      <c r="G10" s="2" t="n">
        <v>43</v>
      </c>
      <c r="H10" s="2" t="n">
        <v>1</v>
      </c>
      <c r="I10" s="2" t="n">
        <v>1</v>
      </c>
      <c r="J10" s="2" t="n">
        <v>5.3</v>
      </c>
      <c r="K10" s="2" t="inlineStr">
        <is>
          <t>fertigation</t>
        </is>
      </c>
      <c r="L10" s="2" t="n">
        <v>0.9</v>
      </c>
      <c r="M10" s="2" t="n">
        <v>7.9</v>
      </c>
      <c r="N10" s="2" t="n">
        <v>0.5</v>
      </c>
      <c r="O10" s="2" t="n">
        <v>3.5</v>
      </c>
      <c r="P10" s="2" t="n">
        <v>2</v>
      </c>
      <c r="Q10" s="2" t="n">
        <v>1</v>
      </c>
      <c r="R10" s="2" t="n">
        <v>1</v>
      </c>
      <c r="S10" s="2" t="n">
        <v>0</v>
      </c>
      <c r="T10" s="2" t="n">
        <v>5</v>
      </c>
      <c r="U10" s="2" t="n">
        <v>2</v>
      </c>
      <c r="V10" s="2" t="n">
        <v>1</v>
      </c>
      <c r="W10" s="2" t="n">
        <v>10</v>
      </c>
      <c r="X10" s="2" t="n">
        <v>0.3</v>
      </c>
      <c r="Y10" s="2" t="n">
        <v>0</v>
      </c>
      <c r="Z10" s="2" t="n">
        <v>3</v>
      </c>
    </row>
    <row r="11">
      <c r="A11" s="3" t="inlineStr">
        <is>
          <t>fruiting_vegetables</t>
        </is>
      </c>
      <c r="B11" s="3" t="inlineStr">
        <is>
          <t>eggplant</t>
        </is>
      </c>
      <c r="C11" s="3" t="inlineStr">
        <is>
          <t>Eggplant</t>
        </is>
      </c>
      <c r="D11" s="3" t="inlineStr">
        <is>
          <t>茄子</t>
        </is>
      </c>
      <c r="E11" s="3" t="inlineStr">
        <is>
          <t>INERT_SUBSTRATE</t>
        </is>
      </c>
      <c r="F11" s="3" t="inlineStr">
        <is>
          <t>direct</t>
        </is>
      </c>
      <c r="G11" s="3" t="n">
        <v>44</v>
      </c>
      <c r="H11" s="3" t="n">
        <v>3</v>
      </c>
      <c r="I11" s="3" t="n">
        <v>2.1</v>
      </c>
      <c r="J11" s="3" t="n">
        <v>5.3</v>
      </c>
      <c r="K11" s="3" t="inlineStr">
        <is>
          <t>fertigation</t>
        </is>
      </c>
      <c r="L11" s="3" t="n">
        <v>1.5</v>
      </c>
      <c r="M11" s="3" t="n">
        <v>15.5</v>
      </c>
      <c r="N11" s="3" t="n">
        <v>1.25</v>
      </c>
      <c r="O11" s="3" t="n">
        <v>6.75</v>
      </c>
      <c r="P11" s="3" t="n">
        <v>3.25</v>
      </c>
      <c r="Q11" s="3" t="n">
        <v>2.5</v>
      </c>
      <c r="R11" s="3" t="n">
        <v>1.5</v>
      </c>
      <c r="S11" s="3" t="n">
        <v>0</v>
      </c>
      <c r="T11" s="3" t="n">
        <v>15</v>
      </c>
      <c r="U11" s="3" t="n">
        <v>10</v>
      </c>
      <c r="V11" s="3" t="n">
        <v>5</v>
      </c>
      <c r="W11" s="3" t="n">
        <v>35</v>
      </c>
      <c r="X11" s="3" t="n">
        <v>0.75</v>
      </c>
      <c r="Y11" s="3" t="n">
        <v>0.5</v>
      </c>
      <c r="Z11" s="3" t="n">
        <v>6</v>
      </c>
    </row>
    <row r="12">
      <c r="A12" s="2" t="inlineStr">
        <is>
          <t>fruiting_vegetables</t>
        </is>
      </c>
      <c r="B12" s="2" t="inlineStr">
        <is>
          <t>eggplant</t>
        </is>
      </c>
      <c r="C12" s="2" t="inlineStr">
        <is>
          <t>Eggplant</t>
        </is>
      </c>
      <c r="D12" s="2" t="inlineStr">
        <is>
          <t>茄子</t>
        </is>
      </c>
      <c r="E12" s="2" t="inlineStr">
        <is>
          <t>INERT_SUBSTRATE</t>
        </is>
      </c>
      <c r="F12" s="2" t="inlineStr">
        <is>
          <t>direct</t>
        </is>
      </c>
      <c r="G12" s="2" t="n">
        <v>44</v>
      </c>
      <c r="H12" s="2" t="n">
        <v>3</v>
      </c>
      <c r="I12" s="2" t="n">
        <v>2.1</v>
      </c>
      <c r="J12" s="2" t="n">
        <v>5.3</v>
      </c>
      <c r="K12" s="2" t="inlineStr">
        <is>
          <t>start</t>
        </is>
      </c>
      <c r="L12" s="2" t="n">
        <v>0.5</v>
      </c>
      <c r="M12" s="2" t="n">
        <v>15.5</v>
      </c>
      <c r="N12" s="2" t="n">
        <v>1.25</v>
      </c>
      <c r="O12" s="2" t="n">
        <v>5.75</v>
      </c>
      <c r="P12" s="2" t="n">
        <v>3.75</v>
      </c>
      <c r="Q12" s="2" t="n">
        <v>3</v>
      </c>
      <c r="R12" s="2" t="n">
        <v>1.5</v>
      </c>
      <c r="S12" s="2" t="n">
        <v>0</v>
      </c>
      <c r="T12" s="2" t="n">
        <v>25</v>
      </c>
      <c r="U12" s="2" t="n">
        <v>10</v>
      </c>
      <c r="V12" s="2" t="n">
        <v>5</v>
      </c>
      <c r="W12" s="2" t="n">
        <v>45</v>
      </c>
      <c r="X12" s="2" t="n">
        <v>0.75</v>
      </c>
      <c r="Y12" s="2" t="n">
        <v>0.5</v>
      </c>
      <c r="Z12" s="2" t="n">
        <v>6</v>
      </c>
    </row>
    <row r="13">
      <c r="A13" s="3" t="inlineStr">
        <is>
          <t>fruiting_vegetables</t>
        </is>
      </c>
      <c r="B13" s="3" t="inlineStr">
        <is>
          <t>eggplant</t>
        </is>
      </c>
      <c r="C13" s="3" t="inlineStr">
        <is>
          <t>Eggplant</t>
        </is>
      </c>
      <c r="D13" s="3" t="inlineStr">
        <is>
          <t>茄子</t>
        </is>
      </c>
      <c r="E13" s="3" t="inlineStr">
        <is>
          <t>INERT_SUBSTRATE</t>
        </is>
      </c>
      <c r="F13" s="3" t="inlineStr">
        <is>
          <t>direct</t>
        </is>
      </c>
      <c r="G13" s="3" t="n">
        <v>44</v>
      </c>
      <c r="H13" s="3" t="n">
        <v>3</v>
      </c>
      <c r="I13" s="3" t="n">
        <v>2.1</v>
      </c>
      <c r="J13" s="3" t="n">
        <v>5.3</v>
      </c>
      <c r="K13" s="3" t="inlineStr">
        <is>
          <t>fruit_set</t>
        </is>
      </c>
      <c r="L13" s="3" t="n">
        <v>1.5</v>
      </c>
      <c r="M13" s="3" t="n">
        <v>16.5</v>
      </c>
      <c r="N13" s="3" t="n">
        <v>1.25</v>
      </c>
      <c r="O13" s="3" t="n">
        <v>7.75</v>
      </c>
      <c r="P13" s="3" t="n">
        <v>3.25</v>
      </c>
      <c r="Q13" s="3" t="n">
        <v>2.5</v>
      </c>
      <c r="R13" s="3" t="n">
        <v>1.5</v>
      </c>
      <c r="S13" s="3" t="n">
        <v>0</v>
      </c>
      <c r="T13" s="3" t="n">
        <v>15</v>
      </c>
      <c r="U13" s="3" t="n">
        <v>10</v>
      </c>
      <c r="V13" s="3" t="n">
        <v>5</v>
      </c>
      <c r="W13" s="3" t="n">
        <v>35</v>
      </c>
      <c r="X13" s="3" t="n">
        <v>0.75</v>
      </c>
      <c r="Y13" s="3" t="n">
        <v>0.5</v>
      </c>
      <c r="Z13" s="3" t="n">
        <v>6</v>
      </c>
    </row>
    <row r="14">
      <c r="A14" s="2" t="inlineStr">
        <is>
          <t>fruiting_vegetables</t>
        </is>
      </c>
      <c r="B14" s="2" t="inlineStr">
        <is>
          <t>eggplant</t>
        </is>
      </c>
      <c r="C14" s="2" t="inlineStr">
        <is>
          <t>Eggplant</t>
        </is>
      </c>
      <c r="D14" s="2" t="inlineStr">
        <is>
          <t>茄子</t>
        </is>
      </c>
      <c r="E14" s="2" t="inlineStr">
        <is>
          <t>INERT_SUBSTRATE</t>
        </is>
      </c>
      <c r="F14" s="2" t="inlineStr">
        <is>
          <t>direct</t>
        </is>
      </c>
      <c r="G14" s="2" t="n">
        <v>44</v>
      </c>
      <c r="H14" s="2" t="n">
        <v>3</v>
      </c>
      <c r="I14" s="2" t="n">
        <v>2.1</v>
      </c>
      <c r="J14" s="2" t="n">
        <v>5.3</v>
      </c>
      <c r="K14" s="2" t="inlineStr">
        <is>
          <t>end_season</t>
        </is>
      </c>
      <c r="L14" s="2" t="n">
        <v>0.5</v>
      </c>
      <c r="M14" s="2" t="n">
        <v>15.5</v>
      </c>
      <c r="N14" s="2" t="n">
        <v>0.25</v>
      </c>
      <c r="O14" s="2" t="n">
        <v>6.75</v>
      </c>
      <c r="P14" s="2" t="n">
        <v>3.25</v>
      </c>
      <c r="Q14" s="2" t="n">
        <v>2.5</v>
      </c>
      <c r="R14" s="2" t="n">
        <v>1.5</v>
      </c>
      <c r="S14" s="2" t="n">
        <v>0</v>
      </c>
      <c r="T14" s="2" t="n">
        <v>15</v>
      </c>
      <c r="U14" s="2" t="n">
        <v>10</v>
      </c>
      <c r="V14" s="2" t="n">
        <v>5</v>
      </c>
      <c r="W14" s="2" t="n">
        <v>35</v>
      </c>
      <c r="X14" s="2" t="n">
        <v>0.75</v>
      </c>
      <c r="Y14" s="2" t="n">
        <v>0.5</v>
      </c>
      <c r="Z14" s="2" t="n">
        <v>6</v>
      </c>
    </row>
    <row r="15">
      <c r="A15" s="3" t="inlineStr">
        <is>
          <t>fruiting_vegetables</t>
        </is>
      </c>
      <c r="B15" s="3" t="inlineStr">
        <is>
          <t>eggplant</t>
        </is>
      </c>
      <c r="C15" s="3" t="inlineStr">
        <is>
          <t>Eggplant</t>
        </is>
      </c>
      <c r="D15" s="3" t="inlineStr">
        <is>
          <t>茄子</t>
        </is>
      </c>
      <c r="E15" s="3" t="inlineStr">
        <is>
          <t>ORGANIC_MATERIAL</t>
        </is>
      </c>
      <c r="F15" s="3" t="inlineStr">
        <is>
          <t>1:1.5_volume</t>
        </is>
      </c>
      <c r="G15" s="3" t="n">
        <v>45</v>
      </c>
      <c r="H15" s="3" t="n">
        <v>1.2</v>
      </c>
      <c r="I15" s="3" t="n">
        <v>2.1</v>
      </c>
      <c r="J15" s="3" t="n">
        <v>5.3</v>
      </c>
      <c r="K15" s="3" t="inlineStr">
        <is>
          <t>fertigation</t>
        </is>
      </c>
      <c r="L15" s="3" t="n">
        <v>0.75</v>
      </c>
      <c r="M15" s="3" t="n">
        <v>15.5</v>
      </c>
      <c r="N15" s="3" t="n">
        <v>1.25</v>
      </c>
      <c r="O15" s="3" t="n">
        <v>6</v>
      </c>
      <c r="P15" s="3" t="n">
        <v>3.75</v>
      </c>
      <c r="Q15" s="3" t="n">
        <v>2.75</v>
      </c>
      <c r="R15" s="3" t="n">
        <v>1.5</v>
      </c>
      <c r="S15" s="3" t="n">
        <v>0</v>
      </c>
      <c r="T15" s="3" t="n">
        <v>15</v>
      </c>
      <c r="U15" s="3" t="n">
        <v>10</v>
      </c>
      <c r="V15" s="3" t="n">
        <v>5</v>
      </c>
      <c r="W15" s="3" t="n">
        <v>35</v>
      </c>
      <c r="X15" s="3" t="n">
        <v>0.75</v>
      </c>
      <c r="Y15" s="3" t="n">
        <v>0.5</v>
      </c>
      <c r="Z15" s="3" t="n">
        <v>2</v>
      </c>
    </row>
    <row r="16">
      <c r="A16" s="2" t="inlineStr">
        <is>
          <t>fruiting_vegetables</t>
        </is>
      </c>
      <c r="B16" s="2" t="inlineStr">
        <is>
          <t>eggplant</t>
        </is>
      </c>
      <c r="C16" s="2" t="inlineStr">
        <is>
          <t>Eggplant</t>
        </is>
      </c>
      <c r="D16" s="2" t="inlineStr">
        <is>
          <t>茄子</t>
        </is>
      </c>
      <c r="E16" s="2" t="inlineStr">
        <is>
          <t>ORGANIC_MATERIAL</t>
        </is>
      </c>
      <c r="F16" s="2" t="inlineStr">
        <is>
          <t>1:1.5_volume</t>
        </is>
      </c>
      <c r="G16" s="2" t="n">
        <v>45</v>
      </c>
      <c r="H16" s="2" t="n">
        <v>1.2</v>
      </c>
      <c r="I16" s="2" t="n">
        <v>2.1</v>
      </c>
      <c r="J16" s="2" t="n">
        <v>5.3</v>
      </c>
      <c r="K16" s="2" t="inlineStr">
        <is>
          <t>start</t>
        </is>
      </c>
      <c r="L16" s="2" t="n">
        <v>0.25</v>
      </c>
      <c r="M16" s="2" t="n">
        <v>15.5</v>
      </c>
      <c r="N16" s="2" t="n">
        <v>1.25</v>
      </c>
      <c r="O16" s="2" t="n">
        <v>5</v>
      </c>
      <c r="P16" s="2" t="n">
        <v>4.25</v>
      </c>
      <c r="Q16" s="2" t="n">
        <v>3</v>
      </c>
      <c r="R16" s="2" t="n">
        <v>1.5</v>
      </c>
      <c r="S16" s="2" t="n">
        <v>0</v>
      </c>
      <c r="T16" s="2" t="n">
        <v>25</v>
      </c>
      <c r="U16" s="2" t="n">
        <v>10</v>
      </c>
      <c r="V16" s="2" t="n">
        <v>5</v>
      </c>
      <c r="W16" s="2" t="n">
        <v>45</v>
      </c>
      <c r="X16" s="2" t="n">
        <v>0.75</v>
      </c>
      <c r="Y16" s="2" t="n">
        <v>0.5</v>
      </c>
      <c r="Z16" s="2" t="n">
        <v>2</v>
      </c>
    </row>
    <row r="17">
      <c r="A17" s="3" t="inlineStr">
        <is>
          <t>fruiting_vegetables</t>
        </is>
      </c>
      <c r="B17" s="3" t="inlineStr">
        <is>
          <t>eggplant</t>
        </is>
      </c>
      <c r="C17" s="3" t="inlineStr">
        <is>
          <t>Eggplant</t>
        </is>
      </c>
      <c r="D17" s="3" t="inlineStr">
        <is>
          <t>茄子</t>
        </is>
      </c>
      <c r="E17" s="3" t="inlineStr">
        <is>
          <t>ORGANIC_MATERIAL</t>
        </is>
      </c>
      <c r="F17" s="3" t="inlineStr">
        <is>
          <t>1:1.5_volume</t>
        </is>
      </c>
      <c r="G17" s="3" t="n">
        <v>45</v>
      </c>
      <c r="H17" s="3" t="n">
        <v>1.2</v>
      </c>
      <c r="I17" s="3" t="n">
        <v>2.1</v>
      </c>
      <c r="J17" s="3" t="n">
        <v>5.3</v>
      </c>
      <c r="K17" s="3" t="inlineStr">
        <is>
          <t>fruit_set</t>
        </is>
      </c>
      <c r="L17" s="3" t="n">
        <v>0.75</v>
      </c>
      <c r="M17" s="3" t="n">
        <v>16.5</v>
      </c>
      <c r="N17" s="3" t="n">
        <v>1.25</v>
      </c>
      <c r="O17" s="3" t="n">
        <v>7</v>
      </c>
      <c r="P17" s="3" t="n">
        <v>3.75</v>
      </c>
      <c r="Q17" s="3" t="n">
        <v>2.75</v>
      </c>
      <c r="R17" s="3" t="n">
        <v>1.5</v>
      </c>
      <c r="S17" s="3" t="n">
        <v>0</v>
      </c>
      <c r="T17" s="3" t="n">
        <v>15</v>
      </c>
      <c r="U17" s="3" t="n">
        <v>10</v>
      </c>
      <c r="V17" s="3" t="n">
        <v>5</v>
      </c>
      <c r="W17" s="3" t="n">
        <v>35</v>
      </c>
      <c r="X17" s="3" t="n">
        <v>0.75</v>
      </c>
      <c r="Y17" s="3" t="n">
        <v>0.5</v>
      </c>
      <c r="Z17" s="3" t="n">
        <v>2</v>
      </c>
    </row>
    <row r="18">
      <c r="A18" s="2" t="inlineStr">
        <is>
          <t>fruiting_vegetables</t>
        </is>
      </c>
      <c r="B18" s="2" t="inlineStr">
        <is>
          <t>eggplant</t>
        </is>
      </c>
      <c r="C18" s="2" t="inlineStr">
        <is>
          <t>Eggplant</t>
        </is>
      </c>
      <c r="D18" s="2" t="inlineStr">
        <is>
          <t>茄子</t>
        </is>
      </c>
      <c r="E18" s="2" t="inlineStr">
        <is>
          <t>ORGANIC_MATERIAL</t>
        </is>
      </c>
      <c r="F18" s="2" t="inlineStr">
        <is>
          <t>1:1.5_volume</t>
        </is>
      </c>
      <c r="G18" s="2" t="n">
        <v>45</v>
      </c>
      <c r="H18" s="2" t="n">
        <v>1.2</v>
      </c>
      <c r="I18" s="2" t="n">
        <v>2.1</v>
      </c>
      <c r="J18" s="2" t="n">
        <v>5.3</v>
      </c>
      <c r="K18" s="2" t="inlineStr">
        <is>
          <t>end_season</t>
        </is>
      </c>
      <c r="L18" s="2" t="n">
        <v>0.25</v>
      </c>
      <c r="M18" s="2" t="n">
        <v>15.5</v>
      </c>
      <c r="N18" s="2" t="n">
        <v>0.75</v>
      </c>
      <c r="O18" s="2" t="n">
        <v>6</v>
      </c>
      <c r="P18" s="2" t="n">
        <v>3.75</v>
      </c>
      <c r="Q18" s="2" t="n">
        <v>2.75</v>
      </c>
      <c r="R18" s="2" t="n">
        <v>1.5</v>
      </c>
      <c r="S18" s="2" t="n">
        <v>0</v>
      </c>
      <c r="T18" s="2" t="n">
        <v>15</v>
      </c>
      <c r="U18" s="2" t="n">
        <v>10</v>
      </c>
      <c r="V18" s="2" t="n">
        <v>5</v>
      </c>
      <c r="W18" s="2" t="n">
        <v>35</v>
      </c>
      <c r="X18" s="2" t="n">
        <v>0.75</v>
      </c>
      <c r="Y18" s="2" t="n">
        <v>0.5</v>
      </c>
      <c r="Z18" s="2" t="n">
        <v>2</v>
      </c>
    </row>
    <row r="19">
      <c r="A19" s="3" t="inlineStr">
        <is>
          <t>fruiting_vegetables</t>
        </is>
      </c>
      <c r="B19" s="3" t="inlineStr">
        <is>
          <t>eggplant</t>
        </is>
      </c>
      <c r="C19" s="3" t="inlineStr">
        <is>
          <t>Eggplant</t>
        </is>
      </c>
      <c r="D19" s="3" t="inlineStr">
        <is>
          <t>茄子</t>
        </is>
      </c>
      <c r="E19" s="3" t="inlineStr">
        <is>
          <t>SOIL</t>
        </is>
      </c>
      <c r="F19" s="3" t="inlineStr">
        <is>
          <t>1:2_volume</t>
        </is>
      </c>
      <c r="G19" s="3" t="n">
        <v>46</v>
      </c>
      <c r="H19" s="3" t="n">
        <v>1.2</v>
      </c>
      <c r="I19" s="3" t="n">
        <v>1</v>
      </c>
      <c r="J19" s="3" t="n">
        <v>5.3</v>
      </c>
      <c r="K19" s="3" t="inlineStr">
        <is>
          <t>fertigation</t>
        </is>
      </c>
      <c r="L19" s="3" t="n">
        <v>0.9</v>
      </c>
      <c r="M19" s="3" t="n">
        <v>7.9</v>
      </c>
      <c r="N19" s="3" t="n">
        <v>0.5</v>
      </c>
      <c r="O19" s="3" t="n">
        <v>3.5</v>
      </c>
      <c r="P19" s="3" t="n">
        <v>2</v>
      </c>
      <c r="Q19" s="3" t="n">
        <v>1</v>
      </c>
      <c r="R19" s="3" t="n">
        <v>1</v>
      </c>
      <c r="S19" s="3" t="n">
        <v>0</v>
      </c>
      <c r="T19" s="3" t="n">
        <v>5</v>
      </c>
      <c r="U19" s="3" t="n">
        <v>2</v>
      </c>
      <c r="V19" s="3" t="n">
        <v>1</v>
      </c>
      <c r="W19" s="3" t="n">
        <v>10</v>
      </c>
      <c r="X19" s="3" t="n">
        <v>0.3</v>
      </c>
      <c r="Y19" s="3" t="n">
        <v>0</v>
      </c>
      <c r="Z19" s="3" t="n">
        <v>3</v>
      </c>
    </row>
    <row r="20">
      <c r="A20" s="2" t="inlineStr">
        <is>
          <t>fruiting_vegetables</t>
        </is>
      </c>
      <c r="B20" s="2" t="inlineStr">
        <is>
          <t>melon</t>
        </is>
      </c>
      <c r="C20" s="2" t="inlineStr">
        <is>
          <t>Melon</t>
        </is>
      </c>
      <c r="D20" s="2" t="inlineStr">
        <is>
          <t>甜瓜</t>
        </is>
      </c>
      <c r="E20" s="2" t="inlineStr">
        <is>
          <t>INERT_SUBSTRATE</t>
        </is>
      </c>
      <c r="F20" s="2" t="inlineStr">
        <is>
          <t>direct</t>
        </is>
      </c>
      <c r="G20" s="2" t="n">
        <v>47</v>
      </c>
      <c r="H20" s="2" t="n">
        <v>3</v>
      </c>
      <c r="I20" s="2" t="n">
        <v>2.2</v>
      </c>
      <c r="J20" s="2" t="n">
        <v>5.3</v>
      </c>
      <c r="K20" s="2" t="inlineStr">
        <is>
          <t>fertigation</t>
        </is>
      </c>
      <c r="L20" s="2" t="n">
        <v>1.25</v>
      </c>
      <c r="M20" s="2" t="n">
        <v>16</v>
      </c>
      <c r="N20" s="2" t="n">
        <v>1.25</v>
      </c>
      <c r="O20" s="2" t="n">
        <v>8</v>
      </c>
      <c r="P20" s="2" t="n">
        <v>4</v>
      </c>
      <c r="Q20" s="2" t="n">
        <v>1.4</v>
      </c>
      <c r="R20" s="2" t="n">
        <v>1.4</v>
      </c>
      <c r="S20" s="2" t="n">
        <v>0</v>
      </c>
      <c r="T20" s="2" t="n">
        <v>15</v>
      </c>
      <c r="U20" s="2" t="n">
        <v>10</v>
      </c>
      <c r="V20" s="2" t="n">
        <v>5</v>
      </c>
      <c r="W20" s="2" t="n">
        <v>25</v>
      </c>
      <c r="X20" s="2" t="n">
        <v>0.75</v>
      </c>
      <c r="Y20" s="2" t="n">
        <v>0.5</v>
      </c>
      <c r="Z20" s="2" t="n">
        <v>6</v>
      </c>
    </row>
    <row r="21">
      <c r="A21" s="3" t="inlineStr">
        <is>
          <t>fruiting_vegetables</t>
        </is>
      </c>
      <c r="B21" s="3" t="inlineStr">
        <is>
          <t>melon</t>
        </is>
      </c>
      <c r="C21" s="3" t="inlineStr">
        <is>
          <t>Melon</t>
        </is>
      </c>
      <c r="D21" s="3" t="inlineStr">
        <is>
          <t>甜瓜</t>
        </is>
      </c>
      <c r="E21" s="3" t="inlineStr">
        <is>
          <t>INERT_SUBSTRATE</t>
        </is>
      </c>
      <c r="F21" s="3" t="inlineStr">
        <is>
          <t>direct</t>
        </is>
      </c>
      <c r="G21" s="3" t="n">
        <v>47</v>
      </c>
      <c r="H21" s="3" t="n">
        <v>3</v>
      </c>
      <c r="I21" s="3" t="n">
        <v>2.2</v>
      </c>
      <c r="J21" s="3" t="n">
        <v>5.3</v>
      </c>
      <c r="K21" s="3" t="inlineStr">
        <is>
          <t>start</t>
        </is>
      </c>
      <c r="L21" s="3" t="n">
        <v>0.25</v>
      </c>
      <c r="M21" s="3" t="n">
        <v>16</v>
      </c>
      <c r="N21" s="3" t="n">
        <v>1.25</v>
      </c>
      <c r="O21" s="3" t="n">
        <v>7</v>
      </c>
      <c r="P21" s="3" t="n">
        <v>4.5</v>
      </c>
      <c r="Q21" s="3" t="n">
        <v>1.9</v>
      </c>
      <c r="R21" s="3" t="n">
        <v>1.4</v>
      </c>
      <c r="S21" s="3" t="n">
        <v>0</v>
      </c>
      <c r="T21" s="3" t="n">
        <v>25</v>
      </c>
      <c r="U21" s="3" t="n">
        <v>10</v>
      </c>
      <c r="V21" s="3" t="n">
        <v>5</v>
      </c>
      <c r="W21" s="3" t="n">
        <v>35</v>
      </c>
      <c r="X21" s="3" t="n">
        <v>0.75</v>
      </c>
      <c r="Y21" s="3" t="n">
        <v>0.5</v>
      </c>
      <c r="Z21" s="3" t="n">
        <v>6</v>
      </c>
    </row>
    <row r="22">
      <c r="A22" s="2" t="inlineStr">
        <is>
          <t>fruiting_vegetables</t>
        </is>
      </c>
      <c r="B22" s="2" t="inlineStr">
        <is>
          <t>melon</t>
        </is>
      </c>
      <c r="C22" s="2" t="inlineStr">
        <is>
          <t>Melon</t>
        </is>
      </c>
      <c r="D22" s="2" t="inlineStr">
        <is>
          <t>甜瓜</t>
        </is>
      </c>
      <c r="E22" s="2" t="inlineStr">
        <is>
          <t>INERT_SUBSTRATE</t>
        </is>
      </c>
      <c r="F22" s="2" t="inlineStr">
        <is>
          <t>direct</t>
        </is>
      </c>
      <c r="G22" s="2" t="n">
        <v>47</v>
      </c>
      <c r="H22" s="2" t="n">
        <v>3</v>
      </c>
      <c r="I22" s="2" t="n">
        <v>2.2</v>
      </c>
      <c r="J22" s="2" t="n">
        <v>5.3</v>
      </c>
      <c r="K22" s="2" t="inlineStr">
        <is>
          <t>fruit_set</t>
        </is>
      </c>
      <c r="L22" s="2" t="n">
        <v>1.25</v>
      </c>
      <c r="M22" s="2" t="n">
        <v>16</v>
      </c>
      <c r="N22" s="2" t="n">
        <v>1.25</v>
      </c>
      <c r="O22" s="2" t="n">
        <v>9</v>
      </c>
      <c r="P22" s="2" t="n">
        <v>3.5</v>
      </c>
      <c r="Q22" s="2" t="n">
        <v>1.4</v>
      </c>
      <c r="R22" s="2" t="n">
        <v>1.4</v>
      </c>
      <c r="S22" s="2" t="n">
        <v>0</v>
      </c>
      <c r="T22" s="2" t="n">
        <v>15</v>
      </c>
      <c r="U22" s="2" t="n">
        <v>10</v>
      </c>
      <c r="V22" s="2" t="n">
        <v>5</v>
      </c>
      <c r="W22" s="2" t="n">
        <v>25</v>
      </c>
      <c r="X22" s="2" t="n">
        <v>0.75</v>
      </c>
      <c r="Y22" s="2" t="n">
        <v>0.5</v>
      </c>
      <c r="Z22" s="2" t="n">
        <v>6</v>
      </c>
    </row>
    <row r="23">
      <c r="A23" s="3" t="inlineStr">
        <is>
          <t>fruiting_vegetables</t>
        </is>
      </c>
      <c r="B23" s="3" t="inlineStr">
        <is>
          <t>melon</t>
        </is>
      </c>
      <c r="C23" s="3" t="inlineStr">
        <is>
          <t>Melon</t>
        </is>
      </c>
      <c r="D23" s="3" t="inlineStr">
        <is>
          <t>甜瓜</t>
        </is>
      </c>
      <c r="E23" s="3" t="inlineStr">
        <is>
          <t>INERT_SUBSTRATE</t>
        </is>
      </c>
      <c r="F23" s="3" t="inlineStr">
        <is>
          <t>direct</t>
        </is>
      </c>
      <c r="G23" s="3" t="n">
        <v>47</v>
      </c>
      <c r="H23" s="3" t="n">
        <v>3</v>
      </c>
      <c r="I23" s="3" t="n">
        <v>2.2</v>
      </c>
      <c r="J23" s="3" t="n">
        <v>5.3</v>
      </c>
      <c r="K23" s="3" t="inlineStr">
        <is>
          <t>end_season</t>
        </is>
      </c>
      <c r="L23" s="3" t="n">
        <v>0.25</v>
      </c>
      <c r="M23" s="3" t="n">
        <v>16</v>
      </c>
      <c r="N23" s="3" t="n">
        <v>0.25</v>
      </c>
      <c r="O23" s="3" t="n">
        <v>8</v>
      </c>
      <c r="P23" s="3" t="n">
        <v>4</v>
      </c>
      <c r="Q23" s="3" t="n">
        <v>1.4</v>
      </c>
      <c r="R23" s="3" t="n">
        <v>1.4</v>
      </c>
      <c r="S23" s="3" t="n">
        <v>0</v>
      </c>
      <c r="T23" s="3" t="n">
        <v>15</v>
      </c>
      <c r="U23" s="3" t="n">
        <v>10</v>
      </c>
      <c r="V23" s="3" t="n">
        <v>5</v>
      </c>
      <c r="W23" s="3" t="n">
        <v>25</v>
      </c>
      <c r="X23" s="3" t="n">
        <v>0.75</v>
      </c>
      <c r="Y23" s="3" t="n">
        <v>0.5</v>
      </c>
      <c r="Z23" s="3" t="n">
        <v>6</v>
      </c>
    </row>
    <row r="24">
      <c r="A24" s="2" t="inlineStr">
        <is>
          <t>fruiting_vegetables</t>
        </is>
      </c>
      <c r="B24" s="2" t="inlineStr">
        <is>
          <t>melon</t>
        </is>
      </c>
      <c r="C24" s="2" t="inlineStr">
        <is>
          <t>Melon</t>
        </is>
      </c>
      <c r="D24" s="2" t="inlineStr">
        <is>
          <t>甜瓜</t>
        </is>
      </c>
      <c r="E24" s="2" t="inlineStr">
        <is>
          <t>ORGANIC_MATERIAL</t>
        </is>
      </c>
      <c r="F24" s="2" t="inlineStr">
        <is>
          <t>1:1.5_volume</t>
        </is>
      </c>
      <c r="G24" s="2" t="n">
        <v>48</v>
      </c>
      <c r="H24" s="2" t="n">
        <v>1.7</v>
      </c>
      <c r="I24" s="2" t="n">
        <v>2.2</v>
      </c>
      <c r="J24" s="2" t="n">
        <v>5.3</v>
      </c>
      <c r="K24" s="2" t="inlineStr">
        <is>
          <t>fertigation</t>
        </is>
      </c>
      <c r="L24" s="2" t="n">
        <v>1</v>
      </c>
      <c r="M24" s="2" t="n">
        <v>16.25</v>
      </c>
      <c r="N24" s="2" t="n">
        <v>1.25</v>
      </c>
      <c r="O24" s="2" t="n">
        <v>7.5</v>
      </c>
      <c r="P24" s="2" t="n">
        <v>4.75</v>
      </c>
      <c r="Q24" s="2" t="n">
        <v>1.25</v>
      </c>
      <c r="R24" s="2" t="n">
        <v>1.5</v>
      </c>
      <c r="S24" s="2" t="n">
        <v>0</v>
      </c>
      <c r="T24" s="2" t="n">
        <v>15</v>
      </c>
      <c r="U24" s="2" t="n">
        <v>10</v>
      </c>
      <c r="V24" s="2" t="n">
        <v>5</v>
      </c>
      <c r="W24" s="2" t="n">
        <v>25</v>
      </c>
      <c r="X24" s="2" t="n">
        <v>0.75</v>
      </c>
      <c r="Y24" s="2" t="n">
        <v>0.5</v>
      </c>
      <c r="Z24" s="2" t="n">
        <v>2</v>
      </c>
    </row>
    <row r="25">
      <c r="A25" s="3" t="inlineStr">
        <is>
          <t>fruiting_vegetables</t>
        </is>
      </c>
      <c r="B25" s="3" t="inlineStr">
        <is>
          <t>melon</t>
        </is>
      </c>
      <c r="C25" s="3" t="inlineStr">
        <is>
          <t>Melon</t>
        </is>
      </c>
      <c r="D25" s="3" t="inlineStr">
        <is>
          <t>甜瓜</t>
        </is>
      </c>
      <c r="E25" s="3" t="inlineStr">
        <is>
          <t>ORGANIC_MATERIAL</t>
        </is>
      </c>
      <c r="F25" s="3" t="inlineStr">
        <is>
          <t>1:1.5_volume</t>
        </is>
      </c>
      <c r="G25" s="3" t="n">
        <v>48</v>
      </c>
      <c r="H25" s="3" t="n">
        <v>1.7</v>
      </c>
      <c r="I25" s="3" t="n">
        <v>2.2</v>
      </c>
      <c r="J25" s="3" t="n">
        <v>5.3</v>
      </c>
      <c r="K25" s="3" t="inlineStr">
        <is>
          <t>start</t>
        </is>
      </c>
      <c r="L25" s="3" t="n">
        <v>0</v>
      </c>
      <c r="M25" s="3" t="n">
        <v>16.25</v>
      </c>
      <c r="N25" s="3" t="n">
        <v>1.25</v>
      </c>
      <c r="O25" s="3" t="n">
        <v>6.5</v>
      </c>
      <c r="P25" s="3" t="n">
        <v>5.25</v>
      </c>
      <c r="Q25" s="3" t="n">
        <v>1.75</v>
      </c>
      <c r="R25" s="3" t="n">
        <v>1.5</v>
      </c>
      <c r="S25" s="3" t="n">
        <v>0</v>
      </c>
      <c r="T25" s="3" t="n">
        <v>25</v>
      </c>
      <c r="U25" s="3" t="n">
        <v>10</v>
      </c>
      <c r="V25" s="3" t="n">
        <v>5</v>
      </c>
      <c r="W25" s="3" t="n">
        <v>35</v>
      </c>
      <c r="X25" s="3" t="n">
        <v>0.75</v>
      </c>
      <c r="Y25" s="3" t="n">
        <v>0.5</v>
      </c>
      <c r="Z25" s="3" t="n">
        <v>2</v>
      </c>
    </row>
    <row r="26">
      <c r="A26" s="2" t="inlineStr">
        <is>
          <t>fruiting_vegetables</t>
        </is>
      </c>
      <c r="B26" s="2" t="inlineStr">
        <is>
          <t>melon</t>
        </is>
      </c>
      <c r="C26" s="2" t="inlineStr">
        <is>
          <t>Melon</t>
        </is>
      </c>
      <c r="D26" s="2" t="inlineStr">
        <is>
          <t>甜瓜</t>
        </is>
      </c>
      <c r="E26" s="2" t="inlineStr">
        <is>
          <t>ORGANIC_MATERIAL</t>
        </is>
      </c>
      <c r="F26" s="2" t="inlineStr">
        <is>
          <t>1:1.5_volume</t>
        </is>
      </c>
      <c r="G26" s="2" t="n">
        <v>48</v>
      </c>
      <c r="H26" s="2" t="n">
        <v>1.7</v>
      </c>
      <c r="I26" s="2" t="n">
        <v>2.2</v>
      </c>
      <c r="J26" s="2" t="n">
        <v>5.3</v>
      </c>
      <c r="K26" s="2" t="inlineStr">
        <is>
          <t>fruit_set</t>
        </is>
      </c>
      <c r="L26" s="2" t="n">
        <v>1</v>
      </c>
      <c r="M26" s="2" t="n">
        <v>16.25</v>
      </c>
      <c r="N26" s="2" t="n">
        <v>1.25</v>
      </c>
      <c r="O26" s="2" t="n">
        <v>8.5</v>
      </c>
      <c r="P26" s="2" t="n">
        <v>4.25</v>
      </c>
      <c r="Q26" s="2" t="n">
        <v>1.25</v>
      </c>
      <c r="R26" s="2" t="n">
        <v>1.5</v>
      </c>
      <c r="S26" s="2" t="n">
        <v>0</v>
      </c>
      <c r="T26" s="2" t="n">
        <v>15</v>
      </c>
      <c r="U26" s="2" t="n">
        <v>10</v>
      </c>
      <c r="V26" s="2" t="n">
        <v>5</v>
      </c>
      <c r="W26" s="2" t="n">
        <v>25</v>
      </c>
      <c r="X26" s="2" t="n">
        <v>0.75</v>
      </c>
      <c r="Y26" s="2" t="n">
        <v>0.5</v>
      </c>
      <c r="Z26" s="2" t="n">
        <v>2</v>
      </c>
    </row>
    <row r="27">
      <c r="A27" s="3" t="inlineStr">
        <is>
          <t>fruiting_vegetables</t>
        </is>
      </c>
      <c r="B27" s="3" t="inlineStr">
        <is>
          <t>melon</t>
        </is>
      </c>
      <c r="C27" s="3" t="inlineStr">
        <is>
          <t>Melon</t>
        </is>
      </c>
      <c r="D27" s="3" t="inlineStr">
        <is>
          <t>甜瓜</t>
        </is>
      </c>
      <c r="E27" s="3" t="inlineStr">
        <is>
          <t>ORGANIC_MATERIAL</t>
        </is>
      </c>
      <c r="F27" s="3" t="inlineStr">
        <is>
          <t>1:1.5_volume</t>
        </is>
      </c>
      <c r="G27" s="3" t="n">
        <v>48</v>
      </c>
      <c r="H27" s="3" t="n">
        <v>1.7</v>
      </c>
      <c r="I27" s="3" t="n">
        <v>2.2</v>
      </c>
      <c r="J27" s="3" t="n">
        <v>5.3</v>
      </c>
      <c r="K27" s="3" t="inlineStr">
        <is>
          <t>end_season</t>
        </is>
      </c>
      <c r="L27" s="3" t="n">
        <v>0</v>
      </c>
      <c r="M27" s="3" t="n">
        <v>16.25</v>
      </c>
      <c r="N27" s="3" t="n">
        <v>0.25</v>
      </c>
      <c r="O27" s="3" t="n">
        <v>7.5</v>
      </c>
      <c r="P27" s="3" t="n">
        <v>4.75</v>
      </c>
      <c r="Q27" s="3" t="n">
        <v>1.25</v>
      </c>
      <c r="R27" s="3" t="n">
        <v>1.5</v>
      </c>
      <c r="S27" s="3" t="n">
        <v>0</v>
      </c>
      <c r="T27" s="3" t="n">
        <v>15</v>
      </c>
      <c r="U27" s="3" t="n">
        <v>10</v>
      </c>
      <c r="V27" s="3" t="n">
        <v>5</v>
      </c>
      <c r="W27" s="3" t="n">
        <v>25</v>
      </c>
      <c r="X27" s="3" t="n">
        <v>0.75</v>
      </c>
      <c r="Y27" s="3" t="n">
        <v>0.5</v>
      </c>
      <c r="Z27" s="3" t="n">
        <v>2</v>
      </c>
    </row>
    <row r="28">
      <c r="A28" s="2" t="inlineStr">
        <is>
          <t>fruiting_vegetables</t>
        </is>
      </c>
      <c r="B28" s="2" t="inlineStr">
        <is>
          <t>melon</t>
        </is>
      </c>
      <c r="C28" s="2" t="inlineStr">
        <is>
          <t>Melon</t>
        </is>
      </c>
      <c r="D28" s="2" t="inlineStr">
        <is>
          <t>甜瓜</t>
        </is>
      </c>
      <c r="E28" s="2" t="inlineStr">
        <is>
          <t>SOIL</t>
        </is>
      </c>
      <c r="F28" s="2" t="inlineStr">
        <is>
          <t>1:2_volume</t>
        </is>
      </c>
      <c r="G28" s="2" t="n">
        <v>49</v>
      </c>
      <c r="H28" s="2" t="n">
        <v>1</v>
      </c>
      <c r="I28" s="2" t="n">
        <v>1</v>
      </c>
      <c r="J28" s="2" t="n">
        <v>5.3</v>
      </c>
      <c r="K28" s="2" t="inlineStr">
        <is>
          <t>fertigation</t>
        </is>
      </c>
      <c r="L28" s="2" t="n">
        <v>0.8</v>
      </c>
      <c r="M28" s="2" t="n">
        <v>7.3</v>
      </c>
      <c r="N28" s="2" t="n">
        <v>0.5</v>
      </c>
      <c r="O28" s="2" t="n">
        <v>4</v>
      </c>
      <c r="P28" s="2" t="n">
        <v>1.5</v>
      </c>
      <c r="Q28" s="2" t="n">
        <v>1</v>
      </c>
      <c r="R28" s="2" t="n">
        <v>1</v>
      </c>
      <c r="S28" s="2" t="n">
        <v>0</v>
      </c>
      <c r="T28" s="2" t="n">
        <v>5</v>
      </c>
      <c r="U28" s="2" t="n">
        <v>2</v>
      </c>
      <c r="V28" s="2" t="n">
        <v>1</v>
      </c>
      <c r="W28" s="2" t="n">
        <v>10</v>
      </c>
      <c r="X28" s="2" t="n">
        <v>0.3</v>
      </c>
      <c r="Y28" s="2" t="n">
        <v>0</v>
      </c>
      <c r="Z28" s="2" t="n">
        <v>3</v>
      </c>
    </row>
    <row r="29">
      <c r="A29" s="3" t="inlineStr">
        <is>
          <t>fruiting_vegetables</t>
        </is>
      </c>
      <c r="B29" s="3" t="inlineStr">
        <is>
          <t>sweet_pepper</t>
        </is>
      </c>
      <c r="C29" s="3" t="inlineStr">
        <is>
          <t>Sweet Pepper</t>
        </is>
      </c>
      <c r="D29" s="3" t="inlineStr">
        <is>
          <t>甜椒</t>
        </is>
      </c>
      <c r="E29" s="3" t="inlineStr">
        <is>
          <t>INERT_SUBSTRATE</t>
        </is>
      </c>
      <c r="F29" s="3" t="inlineStr">
        <is>
          <t>direct</t>
        </is>
      </c>
      <c r="G29" s="3" t="n">
        <v>50</v>
      </c>
      <c r="H29" s="3" t="n">
        <v>3</v>
      </c>
      <c r="I29" s="3" t="n">
        <v>2.2</v>
      </c>
      <c r="J29" s="3" t="n">
        <v>5.3</v>
      </c>
      <c r="K29" s="3" t="inlineStr">
        <is>
          <t>fertigation</t>
        </is>
      </c>
      <c r="L29" s="3" t="n">
        <v>1</v>
      </c>
      <c r="M29" s="3" t="n">
        <v>16</v>
      </c>
      <c r="N29" s="3" t="n">
        <v>1.25</v>
      </c>
      <c r="O29" s="3" t="n">
        <v>6.75</v>
      </c>
      <c r="P29" s="3" t="n">
        <v>5</v>
      </c>
      <c r="Q29" s="3" t="n">
        <v>1.5</v>
      </c>
      <c r="R29" s="3" t="n">
        <v>1.75</v>
      </c>
      <c r="S29" s="3" t="n">
        <v>0</v>
      </c>
      <c r="T29" s="3" t="n">
        <v>15</v>
      </c>
      <c r="U29" s="3" t="n">
        <v>10</v>
      </c>
      <c r="V29" s="3" t="n">
        <v>5</v>
      </c>
      <c r="W29" s="3" t="n">
        <v>30</v>
      </c>
      <c r="X29" s="3" t="n">
        <v>1</v>
      </c>
      <c r="Y29" s="3" t="n">
        <v>0.5</v>
      </c>
      <c r="Z29" s="3" t="n">
        <v>6</v>
      </c>
    </row>
    <row r="30">
      <c r="A30" s="2" t="inlineStr">
        <is>
          <t>fruiting_vegetables</t>
        </is>
      </c>
      <c r="B30" s="2" t="inlineStr">
        <is>
          <t>sweet_pepper</t>
        </is>
      </c>
      <c r="C30" s="2" t="inlineStr">
        <is>
          <t>Sweet Pepper</t>
        </is>
      </c>
      <c r="D30" s="2" t="inlineStr">
        <is>
          <t>甜椒</t>
        </is>
      </c>
      <c r="E30" s="2" t="inlineStr">
        <is>
          <t>INERT_SUBSTRATE</t>
        </is>
      </c>
      <c r="F30" s="2" t="inlineStr">
        <is>
          <t>direct</t>
        </is>
      </c>
      <c r="G30" s="2" t="n">
        <v>50</v>
      </c>
      <c r="H30" s="2" t="n">
        <v>3</v>
      </c>
      <c r="I30" s="2" t="n">
        <v>2.2</v>
      </c>
      <c r="J30" s="2" t="n">
        <v>5.3</v>
      </c>
      <c r="K30" s="2" t="inlineStr">
        <is>
          <t>start</t>
        </is>
      </c>
      <c r="L30" s="2" t="n">
        <v>0.5</v>
      </c>
      <c r="M30" s="2" t="n">
        <v>16</v>
      </c>
      <c r="N30" s="2" t="n">
        <v>1.25</v>
      </c>
      <c r="O30" s="2" t="n">
        <v>5.75</v>
      </c>
      <c r="P30" s="2" t="n">
        <v>5.5</v>
      </c>
      <c r="Q30" s="2" t="n">
        <v>1.75</v>
      </c>
      <c r="R30" s="2" t="n">
        <v>1.75</v>
      </c>
      <c r="S30" s="2" t="n">
        <v>0</v>
      </c>
      <c r="T30" s="2" t="n">
        <v>25</v>
      </c>
      <c r="U30" s="2" t="n">
        <v>10</v>
      </c>
      <c r="V30" s="2" t="n">
        <v>5</v>
      </c>
      <c r="W30" s="2" t="n">
        <v>40</v>
      </c>
      <c r="X30" s="2" t="n">
        <v>1</v>
      </c>
      <c r="Y30" s="2" t="n">
        <v>0.5</v>
      </c>
      <c r="Z30" s="2" t="n">
        <v>6</v>
      </c>
    </row>
    <row r="31">
      <c r="A31" s="3" t="inlineStr">
        <is>
          <t>fruiting_vegetables</t>
        </is>
      </c>
      <c r="B31" s="3" t="inlineStr">
        <is>
          <t>sweet_pepper</t>
        </is>
      </c>
      <c r="C31" s="3" t="inlineStr">
        <is>
          <t>Sweet Pepper</t>
        </is>
      </c>
      <c r="D31" s="3" t="inlineStr">
        <is>
          <t>甜椒</t>
        </is>
      </c>
      <c r="E31" s="3" t="inlineStr">
        <is>
          <t>INERT_SUBSTRATE</t>
        </is>
      </c>
      <c r="F31" s="3" t="inlineStr">
        <is>
          <t>direct</t>
        </is>
      </c>
      <c r="G31" s="3" t="n">
        <v>50</v>
      </c>
      <c r="H31" s="3" t="n">
        <v>3</v>
      </c>
      <c r="I31" s="3" t="n">
        <v>2.2</v>
      </c>
      <c r="J31" s="3" t="n">
        <v>5.3</v>
      </c>
      <c r="K31" s="3" t="inlineStr">
        <is>
          <t>fruit_set</t>
        </is>
      </c>
      <c r="L31" s="3" t="n">
        <v>1</v>
      </c>
      <c r="M31" s="3" t="n">
        <v>17</v>
      </c>
      <c r="N31" s="3" t="n">
        <v>1.25</v>
      </c>
      <c r="O31" s="3" t="n">
        <v>7.75</v>
      </c>
      <c r="P31" s="3" t="n">
        <v>5</v>
      </c>
      <c r="Q31" s="3" t="n">
        <v>1.5</v>
      </c>
      <c r="R31" s="3" t="n">
        <v>1.75</v>
      </c>
      <c r="S31" s="3" t="n">
        <v>0</v>
      </c>
      <c r="T31" s="3" t="n">
        <v>15</v>
      </c>
      <c r="U31" s="3" t="n">
        <v>10</v>
      </c>
      <c r="V31" s="3" t="n">
        <v>5</v>
      </c>
      <c r="W31" s="3" t="n">
        <v>30</v>
      </c>
      <c r="X31" s="3" t="n">
        <v>1</v>
      </c>
      <c r="Y31" s="3" t="n">
        <v>0.5</v>
      </c>
      <c r="Z31" s="3" t="n">
        <v>6</v>
      </c>
    </row>
    <row r="32">
      <c r="A32" s="2" t="inlineStr">
        <is>
          <t>fruiting_vegetables</t>
        </is>
      </c>
      <c r="B32" s="2" t="inlineStr">
        <is>
          <t>sweet_pepper</t>
        </is>
      </c>
      <c r="C32" s="2" t="inlineStr">
        <is>
          <t>Sweet Pepper</t>
        </is>
      </c>
      <c r="D32" s="2" t="inlineStr">
        <is>
          <t>甜椒</t>
        </is>
      </c>
      <c r="E32" s="2" t="inlineStr">
        <is>
          <t>INERT_SUBSTRATE</t>
        </is>
      </c>
      <c r="F32" s="2" t="inlineStr">
        <is>
          <t>direct</t>
        </is>
      </c>
      <c r="G32" s="2" t="n">
        <v>50</v>
      </c>
      <c r="H32" s="2" t="n">
        <v>3</v>
      </c>
      <c r="I32" s="2" t="n">
        <v>2.2</v>
      </c>
      <c r="J32" s="2" t="n">
        <v>5.3</v>
      </c>
      <c r="K32" s="2" t="inlineStr">
        <is>
          <t>end_season</t>
        </is>
      </c>
      <c r="L32" s="2" t="n">
        <v>0</v>
      </c>
      <c r="M32" s="2" t="n">
        <v>16</v>
      </c>
      <c r="N32" s="2" t="n">
        <v>0.25</v>
      </c>
      <c r="O32" s="2" t="n">
        <v>6.75</v>
      </c>
      <c r="P32" s="2" t="n">
        <v>5</v>
      </c>
      <c r="Q32" s="2" t="n">
        <v>1.5</v>
      </c>
      <c r="R32" s="2" t="n">
        <v>1.75</v>
      </c>
      <c r="S32" s="2" t="n">
        <v>0</v>
      </c>
      <c r="T32" s="2" t="n">
        <v>15</v>
      </c>
      <c r="U32" s="2" t="n">
        <v>10</v>
      </c>
      <c r="V32" s="2" t="n">
        <v>5</v>
      </c>
      <c r="W32" s="2" t="n">
        <v>30</v>
      </c>
      <c r="X32" s="2" t="n">
        <v>1</v>
      </c>
      <c r="Y32" s="2" t="n">
        <v>0.5</v>
      </c>
      <c r="Z32" s="2" t="n">
        <v>6</v>
      </c>
    </row>
    <row r="33">
      <c r="A33" s="3" t="inlineStr">
        <is>
          <t>fruiting_vegetables</t>
        </is>
      </c>
      <c r="B33" s="3" t="inlineStr">
        <is>
          <t>sweet_pepper</t>
        </is>
      </c>
      <c r="C33" s="3" t="inlineStr">
        <is>
          <t>Sweet Pepper</t>
        </is>
      </c>
      <c r="D33" s="3" t="inlineStr">
        <is>
          <t>甜椒</t>
        </is>
      </c>
      <c r="E33" s="3" t="inlineStr">
        <is>
          <t>ORGANIC_MATERIAL</t>
        </is>
      </c>
      <c r="F33" s="3" t="inlineStr">
        <is>
          <t>1:1.5_volume</t>
        </is>
      </c>
      <c r="G33" s="3" t="n">
        <v>51</v>
      </c>
      <c r="H33" s="3" t="n">
        <v>1.4</v>
      </c>
      <c r="I33" s="3" t="n">
        <v>2.1</v>
      </c>
      <c r="J33" s="3" t="n">
        <v>5.3</v>
      </c>
      <c r="K33" s="3" t="inlineStr">
        <is>
          <t>fertigation</t>
        </is>
      </c>
      <c r="L33" s="3" t="n">
        <v>1.05</v>
      </c>
      <c r="M33" s="3" t="n">
        <v>16</v>
      </c>
      <c r="N33" s="3" t="n">
        <v>1.25</v>
      </c>
      <c r="O33" s="3" t="n">
        <v>6.2</v>
      </c>
      <c r="P33" s="3" t="n">
        <v>5.25</v>
      </c>
      <c r="Q33" s="3" t="n">
        <v>1.5</v>
      </c>
      <c r="R33" s="3" t="n">
        <v>1.75</v>
      </c>
      <c r="S33" s="3" t="n">
        <v>0</v>
      </c>
      <c r="T33" s="3" t="n">
        <v>30</v>
      </c>
      <c r="U33" s="3" t="n">
        <v>10</v>
      </c>
      <c r="V33" s="3" t="n">
        <v>5</v>
      </c>
      <c r="W33" s="3" t="n">
        <v>30</v>
      </c>
      <c r="X33" s="3" t="n">
        <v>1</v>
      </c>
      <c r="Y33" s="3" t="n">
        <v>0.5</v>
      </c>
      <c r="Z33" s="3" t="n">
        <v>2</v>
      </c>
    </row>
    <row r="34">
      <c r="A34" s="2" t="inlineStr">
        <is>
          <t>fruiting_vegetables</t>
        </is>
      </c>
      <c r="B34" s="2" t="inlineStr">
        <is>
          <t>sweet_pepper</t>
        </is>
      </c>
      <c r="C34" s="2" t="inlineStr">
        <is>
          <t>Sweet Pepper</t>
        </is>
      </c>
      <c r="D34" s="2" t="inlineStr">
        <is>
          <t>甜椒</t>
        </is>
      </c>
      <c r="E34" s="2" t="inlineStr">
        <is>
          <t>ORGANIC_MATERIAL</t>
        </is>
      </c>
      <c r="F34" s="2" t="inlineStr">
        <is>
          <t>1:1.5_volume</t>
        </is>
      </c>
      <c r="G34" s="2" t="n">
        <v>51</v>
      </c>
      <c r="H34" s="2" t="n">
        <v>1.4</v>
      </c>
      <c r="I34" s="2" t="n">
        <v>2.1</v>
      </c>
      <c r="J34" s="2" t="n">
        <v>5.3</v>
      </c>
      <c r="K34" s="2" t="inlineStr">
        <is>
          <t>start</t>
        </is>
      </c>
      <c r="L34" s="2" t="n">
        <v>0.55</v>
      </c>
      <c r="M34" s="2" t="n">
        <v>16</v>
      </c>
      <c r="N34" s="2" t="n">
        <v>1.25</v>
      </c>
      <c r="O34" s="2" t="n">
        <v>5.2</v>
      </c>
      <c r="P34" s="2" t="n">
        <v>5.75</v>
      </c>
      <c r="Q34" s="2" t="n">
        <v>1.75</v>
      </c>
      <c r="R34" s="2" t="n">
        <v>1.75</v>
      </c>
      <c r="S34" s="2" t="n">
        <v>0</v>
      </c>
      <c r="T34" s="2" t="n">
        <v>40</v>
      </c>
      <c r="U34" s="2" t="n">
        <v>10</v>
      </c>
      <c r="V34" s="2" t="n">
        <v>5</v>
      </c>
      <c r="W34" s="2" t="n">
        <v>40</v>
      </c>
      <c r="X34" s="2" t="n">
        <v>1</v>
      </c>
      <c r="Y34" s="2" t="n">
        <v>0.5</v>
      </c>
      <c r="Z34" s="2" t="n">
        <v>2</v>
      </c>
    </row>
    <row r="35">
      <c r="A35" s="3" t="inlineStr">
        <is>
          <t>fruiting_vegetables</t>
        </is>
      </c>
      <c r="B35" s="3" t="inlineStr">
        <is>
          <t>sweet_pepper</t>
        </is>
      </c>
      <c r="C35" s="3" t="inlineStr">
        <is>
          <t>Sweet Pepper</t>
        </is>
      </c>
      <c r="D35" s="3" t="inlineStr">
        <is>
          <t>甜椒</t>
        </is>
      </c>
      <c r="E35" s="3" t="inlineStr">
        <is>
          <t>ORGANIC_MATERIAL</t>
        </is>
      </c>
      <c r="F35" s="3" t="inlineStr">
        <is>
          <t>1:1.5_volume</t>
        </is>
      </c>
      <c r="G35" s="3" t="n">
        <v>51</v>
      </c>
      <c r="H35" s="3" t="n">
        <v>1.4</v>
      </c>
      <c r="I35" s="3" t="n">
        <v>2.1</v>
      </c>
      <c r="J35" s="3" t="n">
        <v>5.3</v>
      </c>
      <c r="K35" s="3" t="inlineStr">
        <is>
          <t>fruit_set</t>
        </is>
      </c>
      <c r="L35" s="3" t="n">
        <v>1.05</v>
      </c>
      <c r="M35" s="3" t="n">
        <v>17</v>
      </c>
      <c r="N35" s="3" t="n">
        <v>1.25</v>
      </c>
      <c r="O35" s="3" t="n">
        <v>7.2</v>
      </c>
      <c r="P35" s="3" t="n">
        <v>5.25</v>
      </c>
      <c r="Q35" s="3" t="n">
        <v>1.5</v>
      </c>
      <c r="R35" s="3" t="n">
        <v>1.75</v>
      </c>
      <c r="S35" s="3" t="n">
        <v>0</v>
      </c>
      <c r="T35" s="3" t="n">
        <v>30</v>
      </c>
      <c r="U35" s="3" t="n">
        <v>10</v>
      </c>
      <c r="V35" s="3" t="n">
        <v>5</v>
      </c>
      <c r="W35" s="3" t="n">
        <v>30</v>
      </c>
      <c r="X35" s="3" t="n">
        <v>1</v>
      </c>
      <c r="Y35" s="3" t="n">
        <v>0.5</v>
      </c>
      <c r="Z35" s="3" t="n">
        <v>2</v>
      </c>
    </row>
    <row r="36">
      <c r="A36" s="2" t="inlineStr">
        <is>
          <t>fruiting_vegetables</t>
        </is>
      </c>
      <c r="B36" s="2" t="inlineStr">
        <is>
          <t>sweet_pepper</t>
        </is>
      </c>
      <c r="C36" s="2" t="inlineStr">
        <is>
          <t>Sweet Pepper</t>
        </is>
      </c>
      <c r="D36" s="2" t="inlineStr">
        <is>
          <t>甜椒</t>
        </is>
      </c>
      <c r="E36" s="2" t="inlineStr">
        <is>
          <t>ORGANIC_MATERIAL</t>
        </is>
      </c>
      <c r="F36" s="2" t="inlineStr">
        <is>
          <t>1:1.5_volume</t>
        </is>
      </c>
      <c r="G36" s="2" t="n">
        <v>51</v>
      </c>
      <c r="H36" s="2" t="n">
        <v>1.4</v>
      </c>
      <c r="I36" s="2" t="n">
        <v>2.1</v>
      </c>
      <c r="J36" s="2" t="n">
        <v>5.3</v>
      </c>
      <c r="K36" s="2" t="inlineStr">
        <is>
          <t>end_season</t>
        </is>
      </c>
      <c r="L36" s="2" t="n">
        <v>0.05</v>
      </c>
      <c r="M36" s="2" t="n">
        <v>16</v>
      </c>
      <c r="N36" s="2" t="n">
        <v>0.25</v>
      </c>
      <c r="O36" s="2" t="n">
        <v>6.2</v>
      </c>
      <c r="P36" s="2" t="n">
        <v>5.25</v>
      </c>
      <c r="Q36" s="2" t="n">
        <v>1.5</v>
      </c>
      <c r="R36" s="2" t="n">
        <v>1.75</v>
      </c>
      <c r="S36" s="2" t="n">
        <v>0</v>
      </c>
      <c r="T36" s="2" t="n">
        <v>30</v>
      </c>
      <c r="U36" s="2" t="n">
        <v>10</v>
      </c>
      <c r="V36" s="2" t="n">
        <v>5</v>
      </c>
      <c r="W36" s="2" t="n">
        <v>30</v>
      </c>
      <c r="X36" s="2" t="n">
        <v>1</v>
      </c>
      <c r="Y36" s="2" t="n">
        <v>0.5</v>
      </c>
      <c r="Z36" s="2" t="n">
        <v>2</v>
      </c>
    </row>
    <row r="37">
      <c r="A37" s="3" t="inlineStr">
        <is>
          <t>fruiting_vegetables</t>
        </is>
      </c>
      <c r="B37" s="3" t="inlineStr">
        <is>
          <t>sweet_pepper</t>
        </is>
      </c>
      <c r="C37" s="3" t="inlineStr">
        <is>
          <t>Sweet Pepper</t>
        </is>
      </c>
      <c r="D37" s="3" t="inlineStr">
        <is>
          <t>甜椒</t>
        </is>
      </c>
      <c r="E37" s="3" t="inlineStr">
        <is>
          <t>SOIL</t>
        </is>
      </c>
      <c r="F37" s="3" t="inlineStr">
        <is>
          <t>1:2_volume</t>
        </is>
      </c>
      <c r="G37" s="3" t="n">
        <v>52</v>
      </c>
      <c r="H37" s="3" t="n">
        <v>1.1</v>
      </c>
      <c r="I37" s="3" t="n">
        <v>1.1</v>
      </c>
      <c r="J37" s="3" t="n">
        <v>5.3</v>
      </c>
      <c r="K37" s="3" t="inlineStr">
        <is>
          <t>fertigation</t>
        </is>
      </c>
      <c r="L37" s="3" t="n">
        <v>0.9</v>
      </c>
      <c r="M37" s="3" t="n">
        <v>8.4</v>
      </c>
      <c r="N37" s="3" t="n">
        <v>0.5</v>
      </c>
      <c r="O37" s="3" t="n">
        <v>4</v>
      </c>
      <c r="P37" s="3" t="n">
        <v>2</v>
      </c>
      <c r="Q37" s="3" t="n">
        <v>1</v>
      </c>
      <c r="R37" s="3" t="n">
        <v>1</v>
      </c>
      <c r="S37" s="3" t="n">
        <v>0</v>
      </c>
      <c r="T37" s="3" t="n">
        <v>5</v>
      </c>
      <c r="U37" s="3" t="n">
        <v>2</v>
      </c>
      <c r="V37" s="3" t="n">
        <v>1</v>
      </c>
      <c r="W37" s="3" t="n">
        <v>10</v>
      </c>
      <c r="X37" s="3" t="n">
        <v>0.3</v>
      </c>
      <c r="Y37" s="3" t="n">
        <v>0</v>
      </c>
      <c r="Z37" s="3" t="n">
        <v>3</v>
      </c>
    </row>
    <row r="38">
      <c r="A38" s="2" t="inlineStr">
        <is>
          <t>fruiting_vegetables</t>
        </is>
      </c>
      <c r="B38" s="2" t="inlineStr">
        <is>
          <t>tomato</t>
        </is>
      </c>
      <c r="C38" s="2" t="inlineStr">
        <is>
          <t>Tomato</t>
        </is>
      </c>
      <c r="D38" s="2" t="inlineStr">
        <is>
          <t>番茄</t>
        </is>
      </c>
      <c r="E38" s="2" t="inlineStr">
        <is>
          <t>INERT_SUBSTRATE</t>
        </is>
      </c>
      <c r="F38" s="2" t="inlineStr">
        <is>
          <t>direct</t>
        </is>
      </c>
      <c r="G38" s="2" t="n">
        <v>53</v>
      </c>
      <c r="H38" s="2" t="n">
        <v>4</v>
      </c>
      <c r="I38" s="2" t="n">
        <v>2.6</v>
      </c>
      <c r="J38" s="2" t="n">
        <v>5.3</v>
      </c>
      <c r="K38" s="2" t="inlineStr">
        <is>
          <t>fertigation</t>
        </is>
      </c>
      <c r="L38" s="2" t="n">
        <v>1.2</v>
      </c>
      <c r="M38" s="2" t="n">
        <v>15</v>
      </c>
      <c r="N38" s="2" t="n">
        <v>1.5</v>
      </c>
      <c r="O38" s="2" t="n">
        <v>9.5</v>
      </c>
      <c r="P38" s="2" t="n">
        <v>5.4</v>
      </c>
      <c r="Q38" s="2" t="n">
        <v>2.4</v>
      </c>
      <c r="R38" s="2" t="n">
        <v>4.4</v>
      </c>
      <c r="S38" s="2" t="n">
        <v>1</v>
      </c>
      <c r="T38" s="2" t="n">
        <v>15</v>
      </c>
      <c r="U38" s="2" t="n">
        <v>10</v>
      </c>
      <c r="V38" s="2" t="n">
        <v>5</v>
      </c>
      <c r="W38" s="2" t="n">
        <v>30</v>
      </c>
      <c r="X38" s="2" t="n">
        <v>0.75</v>
      </c>
      <c r="Y38" s="2" t="n">
        <v>0.5</v>
      </c>
      <c r="Z38" s="2" t="n">
        <v>8</v>
      </c>
    </row>
    <row r="39">
      <c r="A39" s="3" t="inlineStr">
        <is>
          <t>fruiting_vegetables</t>
        </is>
      </c>
      <c r="B39" s="3" t="inlineStr">
        <is>
          <t>tomato</t>
        </is>
      </c>
      <c r="C39" s="3" t="inlineStr">
        <is>
          <t>Tomato</t>
        </is>
      </c>
      <c r="D39" s="3" t="inlineStr">
        <is>
          <t>番茄</t>
        </is>
      </c>
      <c r="E39" s="3" t="inlineStr">
        <is>
          <t>INERT_SUBSTRATE</t>
        </is>
      </c>
      <c r="F39" s="3" t="inlineStr">
        <is>
          <t>direct</t>
        </is>
      </c>
      <c r="G39" s="3" t="n">
        <v>53</v>
      </c>
      <c r="H39" s="3" t="n">
        <v>4</v>
      </c>
      <c r="I39" s="3" t="n">
        <v>2.6</v>
      </c>
      <c r="J39" s="3" t="n">
        <v>5.3</v>
      </c>
      <c r="K39" s="3" t="inlineStr">
        <is>
          <t>start</t>
        </is>
      </c>
      <c r="L39" s="3" t="n">
        <v>0.2</v>
      </c>
      <c r="M39" s="3" t="n">
        <v>15</v>
      </c>
      <c r="N39" s="3" t="n">
        <v>1.5</v>
      </c>
      <c r="O39" s="3" t="n">
        <v>8.5</v>
      </c>
      <c r="P39" s="3" t="n">
        <v>5.9</v>
      </c>
      <c r="Q39" s="3" t="n">
        <v>2.9</v>
      </c>
      <c r="R39" s="3" t="n">
        <v>4.4</v>
      </c>
      <c r="S39" s="3" t="n">
        <v>1</v>
      </c>
      <c r="T39" s="3" t="n">
        <v>25</v>
      </c>
      <c r="U39" s="3" t="n">
        <v>10</v>
      </c>
      <c r="V39" s="3" t="n">
        <v>5</v>
      </c>
      <c r="W39" s="3" t="n">
        <v>40</v>
      </c>
      <c r="X39" s="3" t="n">
        <v>0.75</v>
      </c>
      <c r="Y39" s="3" t="n">
        <v>0.5</v>
      </c>
      <c r="Z39" s="3" t="n">
        <v>8</v>
      </c>
    </row>
    <row r="40">
      <c r="A40" s="2" t="inlineStr">
        <is>
          <t>fruiting_vegetables</t>
        </is>
      </c>
      <c r="B40" s="2" t="inlineStr">
        <is>
          <t>tomato</t>
        </is>
      </c>
      <c r="C40" s="2" t="inlineStr">
        <is>
          <t>Tomato</t>
        </is>
      </c>
      <c r="D40" s="2" t="inlineStr">
        <is>
          <t>番茄</t>
        </is>
      </c>
      <c r="E40" s="2" t="inlineStr">
        <is>
          <t>INERT_SUBSTRATE</t>
        </is>
      </c>
      <c r="F40" s="2" t="inlineStr">
        <is>
          <t>direct</t>
        </is>
      </c>
      <c r="G40" s="2" t="n">
        <v>53</v>
      </c>
      <c r="H40" s="2" t="n">
        <v>4</v>
      </c>
      <c r="I40" s="2" t="n">
        <v>2.6</v>
      </c>
      <c r="J40" s="2" t="n">
        <v>5.3</v>
      </c>
      <c r="K40" s="2" t="inlineStr">
        <is>
          <t>fruit_set</t>
        </is>
      </c>
      <c r="L40" s="2" t="n">
        <v>1.2</v>
      </c>
      <c r="M40" s="2" t="n">
        <v>15</v>
      </c>
      <c r="N40" s="2" t="n">
        <v>1.5</v>
      </c>
      <c r="O40" s="2" t="n">
        <v>11</v>
      </c>
      <c r="P40" s="2" t="n">
        <v>4.9</v>
      </c>
      <c r="Q40" s="2" t="n">
        <v>2.15</v>
      </c>
      <c r="R40" s="2" t="n">
        <v>4.4</v>
      </c>
      <c r="S40" s="2" t="n">
        <v>1</v>
      </c>
      <c r="T40" s="2" t="n">
        <v>15</v>
      </c>
      <c r="U40" s="2" t="n">
        <v>10</v>
      </c>
      <c r="V40" s="2" t="n">
        <v>5</v>
      </c>
      <c r="W40" s="2" t="n">
        <v>30</v>
      </c>
      <c r="X40" s="2" t="n">
        <v>0.75</v>
      </c>
      <c r="Y40" s="2" t="n">
        <v>0.5</v>
      </c>
      <c r="Z40" s="2" t="n">
        <v>8</v>
      </c>
    </row>
    <row r="41">
      <c r="A41" s="3" t="inlineStr">
        <is>
          <t>fruiting_vegetables</t>
        </is>
      </c>
      <c r="B41" s="3" t="inlineStr">
        <is>
          <t>tomato</t>
        </is>
      </c>
      <c r="C41" s="3" t="inlineStr">
        <is>
          <t>Tomato</t>
        </is>
      </c>
      <c r="D41" s="3" t="inlineStr">
        <is>
          <t>番茄</t>
        </is>
      </c>
      <c r="E41" s="3" t="inlineStr">
        <is>
          <t>INERT_SUBSTRATE</t>
        </is>
      </c>
      <c r="F41" s="3" t="inlineStr">
        <is>
          <t>direct</t>
        </is>
      </c>
      <c r="G41" s="3" t="n">
        <v>53</v>
      </c>
      <c r="H41" s="3" t="n">
        <v>4</v>
      </c>
      <c r="I41" s="3" t="n">
        <v>2.6</v>
      </c>
      <c r="J41" s="3" t="n">
        <v>5.3</v>
      </c>
      <c r="K41" s="3" t="inlineStr">
        <is>
          <t>end_season</t>
        </is>
      </c>
      <c r="L41" s="3" t="n">
        <v>0.2</v>
      </c>
      <c r="M41" s="3" t="n">
        <v>15</v>
      </c>
      <c r="N41" s="3" t="n">
        <v>0.5</v>
      </c>
      <c r="O41" s="3" t="n">
        <v>9.5</v>
      </c>
      <c r="P41" s="3" t="n">
        <v>5.4</v>
      </c>
      <c r="Q41" s="3" t="n">
        <v>2.4</v>
      </c>
      <c r="R41" s="3" t="n">
        <v>4.4</v>
      </c>
      <c r="S41" s="3" t="n">
        <v>1</v>
      </c>
      <c r="T41" s="3" t="n">
        <v>15</v>
      </c>
      <c r="U41" s="3" t="n">
        <v>10</v>
      </c>
      <c r="V41" s="3" t="n">
        <v>5</v>
      </c>
      <c r="W41" s="3" t="n">
        <v>30</v>
      </c>
      <c r="X41" s="3" t="n">
        <v>0.75</v>
      </c>
      <c r="Y41" s="3" t="n">
        <v>0.5</v>
      </c>
      <c r="Z41" s="3" t="n">
        <v>8</v>
      </c>
    </row>
    <row r="42">
      <c r="A42" s="2" t="inlineStr">
        <is>
          <t>fruiting_vegetables</t>
        </is>
      </c>
      <c r="B42" s="2" t="inlineStr">
        <is>
          <t>tomato</t>
        </is>
      </c>
      <c r="C42" s="2" t="inlineStr">
        <is>
          <t>Tomato</t>
        </is>
      </c>
      <c r="D42" s="2" t="inlineStr">
        <is>
          <t>番茄</t>
        </is>
      </c>
      <c r="E42" s="2" t="inlineStr">
        <is>
          <t>ORGANIC_MATERIAL</t>
        </is>
      </c>
      <c r="F42" s="2" t="inlineStr">
        <is>
          <t>1:1.5_volume</t>
        </is>
      </c>
      <c r="G42" s="2" t="n">
        <v>54</v>
      </c>
      <c r="H42" s="2" t="n">
        <v>1.5</v>
      </c>
      <c r="I42" s="2" t="n">
        <v>2.6</v>
      </c>
      <c r="J42" s="2" t="n">
        <v>5.3</v>
      </c>
      <c r="K42" s="2" t="inlineStr">
        <is>
          <t>fertigation</t>
        </is>
      </c>
      <c r="L42" s="2" t="n">
        <v>1</v>
      </c>
      <c r="M42" s="2" t="n">
        <v>14.8</v>
      </c>
      <c r="N42" s="2" t="n">
        <v>1.5</v>
      </c>
      <c r="O42" s="2" t="n">
        <v>9.300000000000001</v>
      </c>
      <c r="P42" s="2" t="n">
        <v>5.5</v>
      </c>
      <c r="Q42" s="2" t="n">
        <v>2.4</v>
      </c>
      <c r="R42" s="2" t="n">
        <v>4.4</v>
      </c>
      <c r="S42" s="2" t="n">
        <v>1</v>
      </c>
      <c r="T42" s="2" t="n">
        <v>30</v>
      </c>
      <c r="U42" s="2" t="n">
        <v>10</v>
      </c>
      <c r="V42" s="2" t="n">
        <v>5</v>
      </c>
      <c r="W42" s="2" t="n">
        <v>30</v>
      </c>
      <c r="X42" s="2" t="n">
        <v>0.75</v>
      </c>
      <c r="Y42" s="2" t="n">
        <v>0.5</v>
      </c>
      <c r="Z42" s="2" t="n">
        <v>2</v>
      </c>
    </row>
    <row r="43">
      <c r="A43" s="3" t="inlineStr">
        <is>
          <t>fruiting_vegetables</t>
        </is>
      </c>
      <c r="B43" s="3" t="inlineStr">
        <is>
          <t>tomato</t>
        </is>
      </c>
      <c r="C43" s="3" t="inlineStr">
        <is>
          <t>Tomato</t>
        </is>
      </c>
      <c r="D43" s="3" t="inlineStr">
        <is>
          <t>番茄</t>
        </is>
      </c>
      <c r="E43" s="3" t="inlineStr">
        <is>
          <t>ORGANIC_MATERIAL</t>
        </is>
      </c>
      <c r="F43" s="3" t="inlineStr">
        <is>
          <t>1:1.5_volume</t>
        </is>
      </c>
      <c r="G43" s="3" t="n">
        <v>54</v>
      </c>
      <c r="H43" s="3" t="n">
        <v>1.5</v>
      </c>
      <c r="I43" s="3" t="n">
        <v>2.6</v>
      </c>
      <c r="J43" s="3" t="n">
        <v>5.3</v>
      </c>
      <c r="K43" s="3" t="inlineStr">
        <is>
          <t>start</t>
        </is>
      </c>
      <c r="L43" s="3" t="n">
        <v>0</v>
      </c>
      <c r="M43" s="3" t="n">
        <v>14.8</v>
      </c>
      <c r="N43" s="3" t="n">
        <v>1.5</v>
      </c>
      <c r="O43" s="3" t="n">
        <v>8.300000000000001</v>
      </c>
      <c r="P43" s="3" t="n">
        <v>6</v>
      </c>
      <c r="Q43" s="3" t="n">
        <v>2.9</v>
      </c>
      <c r="R43" s="3" t="n">
        <v>4.4</v>
      </c>
      <c r="S43" s="3" t="n">
        <v>1</v>
      </c>
      <c r="T43" s="3" t="n">
        <v>40</v>
      </c>
      <c r="U43" s="3" t="n">
        <v>10</v>
      </c>
      <c r="V43" s="3" t="n">
        <v>5</v>
      </c>
      <c r="W43" s="3" t="n">
        <v>40</v>
      </c>
      <c r="X43" s="3" t="n">
        <v>0.75</v>
      </c>
      <c r="Y43" s="3" t="n">
        <v>0.5</v>
      </c>
      <c r="Z43" s="3" t="n">
        <v>2</v>
      </c>
    </row>
    <row r="44">
      <c r="A44" s="2" t="inlineStr">
        <is>
          <t>fruiting_vegetables</t>
        </is>
      </c>
      <c r="B44" s="2" t="inlineStr">
        <is>
          <t>tomato</t>
        </is>
      </c>
      <c r="C44" s="2" t="inlineStr">
        <is>
          <t>Tomato</t>
        </is>
      </c>
      <c r="D44" s="2" t="inlineStr">
        <is>
          <t>番茄</t>
        </is>
      </c>
      <c r="E44" s="2" t="inlineStr">
        <is>
          <t>ORGANIC_MATERIAL</t>
        </is>
      </c>
      <c r="F44" s="2" t="inlineStr">
        <is>
          <t>1:1.5_volume</t>
        </is>
      </c>
      <c r="G44" s="2" t="n">
        <v>54</v>
      </c>
      <c r="H44" s="2" t="n">
        <v>1.5</v>
      </c>
      <c r="I44" s="2" t="n">
        <v>2.6</v>
      </c>
      <c r="J44" s="2" t="n">
        <v>5.3</v>
      </c>
      <c r="K44" s="2" t="inlineStr">
        <is>
          <t>fruit_set</t>
        </is>
      </c>
      <c r="L44" s="2" t="n">
        <v>1</v>
      </c>
      <c r="M44" s="2" t="n">
        <v>14.8</v>
      </c>
      <c r="N44" s="2" t="n">
        <v>1.5</v>
      </c>
      <c r="O44" s="2" t="n">
        <v>10.8</v>
      </c>
      <c r="P44" s="2" t="n">
        <v>5</v>
      </c>
      <c r="Q44" s="2" t="n">
        <v>2.15</v>
      </c>
      <c r="R44" s="2" t="n">
        <v>4.4</v>
      </c>
      <c r="S44" s="2" t="n">
        <v>1</v>
      </c>
      <c r="T44" s="2" t="n">
        <v>30</v>
      </c>
      <c r="U44" s="2" t="n">
        <v>10</v>
      </c>
      <c r="V44" s="2" t="n">
        <v>5</v>
      </c>
      <c r="W44" s="2" t="n">
        <v>30</v>
      </c>
      <c r="X44" s="2" t="n">
        <v>0.75</v>
      </c>
      <c r="Y44" s="2" t="n">
        <v>0.5</v>
      </c>
      <c r="Z44" s="2" t="n">
        <v>2</v>
      </c>
    </row>
    <row r="45">
      <c r="A45" s="3" t="inlineStr">
        <is>
          <t>fruiting_vegetables</t>
        </is>
      </c>
      <c r="B45" s="3" t="inlineStr">
        <is>
          <t>tomato</t>
        </is>
      </c>
      <c r="C45" s="3" t="inlineStr">
        <is>
          <t>Tomato</t>
        </is>
      </c>
      <c r="D45" s="3" t="inlineStr">
        <is>
          <t>番茄</t>
        </is>
      </c>
      <c r="E45" s="3" t="inlineStr">
        <is>
          <t>ORGANIC_MATERIAL</t>
        </is>
      </c>
      <c r="F45" s="3" t="inlineStr">
        <is>
          <t>1:1.5_volume</t>
        </is>
      </c>
      <c r="G45" s="3" t="n">
        <v>54</v>
      </c>
      <c r="H45" s="3" t="n">
        <v>1.5</v>
      </c>
      <c r="I45" s="3" t="n">
        <v>2.6</v>
      </c>
      <c r="J45" s="3" t="n">
        <v>5.3</v>
      </c>
      <c r="K45" s="3" t="inlineStr">
        <is>
          <t>end_season</t>
        </is>
      </c>
      <c r="L45" s="3" t="n">
        <v>0</v>
      </c>
      <c r="M45" s="3" t="n">
        <v>14.8</v>
      </c>
      <c r="N45" s="3" t="n">
        <v>0.5</v>
      </c>
      <c r="O45" s="3" t="n">
        <v>9.300000000000001</v>
      </c>
      <c r="P45" s="3" t="n">
        <v>5.5</v>
      </c>
      <c r="Q45" s="3" t="n">
        <v>2.4</v>
      </c>
      <c r="R45" s="3" t="n">
        <v>4.4</v>
      </c>
      <c r="S45" s="3" t="n">
        <v>1</v>
      </c>
      <c r="T45" s="3" t="n">
        <v>30</v>
      </c>
      <c r="U45" s="3" t="n">
        <v>10</v>
      </c>
      <c r="V45" s="3" t="n">
        <v>5</v>
      </c>
      <c r="W45" s="3" t="n">
        <v>30</v>
      </c>
      <c r="X45" s="3" t="n">
        <v>0.75</v>
      </c>
      <c r="Y45" s="3" t="n">
        <v>0.5</v>
      </c>
      <c r="Z45" s="3" t="n">
        <v>2</v>
      </c>
    </row>
    <row r="46">
      <c r="A46" s="2" t="inlineStr">
        <is>
          <t>fruiting_vegetables</t>
        </is>
      </c>
      <c r="B46" s="2" t="inlineStr">
        <is>
          <t>tomato</t>
        </is>
      </c>
      <c r="C46" s="2" t="inlineStr">
        <is>
          <t>Tomato</t>
        </is>
      </c>
      <c r="D46" s="2" t="inlineStr">
        <is>
          <t>番茄</t>
        </is>
      </c>
      <c r="E46" s="2" t="inlineStr">
        <is>
          <t>SOIL</t>
        </is>
      </c>
      <c r="F46" s="2" t="inlineStr">
        <is>
          <t>1:2_volume</t>
        </is>
      </c>
      <c r="G46" s="2" t="n">
        <v>55</v>
      </c>
      <c r="H46" s="2" t="n">
        <v>1.4</v>
      </c>
      <c r="I46" s="2" t="n">
        <v>1.3</v>
      </c>
      <c r="J46" s="2" t="n">
        <v>5.3</v>
      </c>
      <c r="K46" s="2" t="inlineStr">
        <is>
          <t>fertigation</t>
        </is>
      </c>
      <c r="L46" s="2" t="n">
        <v>0.9</v>
      </c>
      <c r="M46" s="2" t="n">
        <v>9.4</v>
      </c>
      <c r="N46" s="2" t="n">
        <v>0.5</v>
      </c>
      <c r="O46" s="2" t="n">
        <v>5</v>
      </c>
      <c r="P46" s="2" t="n">
        <v>2</v>
      </c>
      <c r="Q46" s="2" t="n">
        <v>1.5</v>
      </c>
      <c r="R46" s="2" t="n">
        <v>1.5</v>
      </c>
      <c r="S46" s="2" t="n">
        <v>0</v>
      </c>
      <c r="T46" s="2" t="n">
        <v>5</v>
      </c>
      <c r="U46" s="2" t="n">
        <v>2</v>
      </c>
      <c r="V46" s="2" t="n">
        <v>1</v>
      </c>
      <c r="W46" s="2" t="n">
        <v>10</v>
      </c>
      <c r="X46" s="2" t="n">
        <v>0.3</v>
      </c>
      <c r="Y46" s="2" t="n">
        <v>0</v>
      </c>
      <c r="Z46" s="2" t="n">
        <v>8</v>
      </c>
    </row>
  </sheetData>
  <conditionalFormatting sqref="I2:I46">
    <cfRule type="colorScale" priority="1">
      <colorScale>
        <cfvo type="min"/>
        <cfvo type="max"/>
        <color rgb="00FFFFFF"/>
        <color rgb="001E4D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category</t>
        </is>
      </c>
      <c r="B1" s="1" t="inlineStr">
        <is>
          <t>crop_id</t>
        </is>
      </c>
      <c r="C1" s="1" t="inlineStr">
        <is>
          <t>crop_en</t>
        </is>
      </c>
      <c r="D1" s="1" t="inlineStr">
        <is>
          <t>crop_zh</t>
        </is>
      </c>
      <c r="E1" s="1" t="inlineStr">
        <is>
          <t>substrate_type</t>
        </is>
      </c>
      <c r="F1" s="1" t="inlineStr">
        <is>
          <t>extract_method</t>
        </is>
      </c>
      <c r="G1" s="1" t="inlineStr">
        <is>
          <t>source_page</t>
        </is>
      </c>
      <c r="H1" s="1" t="inlineStr">
        <is>
          <t>ec_root_zone</t>
        </is>
      </c>
      <c r="I1" s="1" t="inlineStr">
        <is>
          <t>ec_fertigation</t>
        </is>
      </c>
      <c r="J1" s="1" t="inlineStr">
        <is>
          <t>ph_fertigation</t>
        </is>
      </c>
      <c r="K1" s="1" t="inlineStr">
        <is>
          <t>growth_stage</t>
        </is>
      </c>
      <c r="L1" s="1" t="inlineStr">
        <is>
          <t>NH4_mmol_l</t>
        </is>
      </c>
      <c r="M1" s="1" t="inlineStr">
        <is>
          <t>NO3_mmol_l</t>
        </is>
      </c>
      <c r="N1" s="1" t="inlineStr">
        <is>
          <t>P_mmol_l</t>
        </is>
      </c>
      <c r="O1" s="1" t="inlineStr">
        <is>
          <t>K_mmol_l</t>
        </is>
      </c>
      <c r="P1" s="1" t="inlineStr">
        <is>
          <t>Ca_mmol_l</t>
        </is>
      </c>
      <c r="Q1" s="1" t="inlineStr">
        <is>
          <t>Mg_mmol_l</t>
        </is>
      </c>
      <c r="R1" s="1" t="inlineStr">
        <is>
          <t>S_mmol_l</t>
        </is>
      </c>
      <c r="S1" s="1" t="inlineStr">
        <is>
          <t>Cl_mmol_l</t>
        </is>
      </c>
      <c r="T1" s="1" t="inlineStr">
        <is>
          <t>Fe_umol_l</t>
        </is>
      </c>
      <c r="U1" s="1" t="inlineStr">
        <is>
          <t>Mn_umol_l</t>
        </is>
      </c>
      <c r="V1" s="1" t="inlineStr">
        <is>
          <t>Zn_umol_l</t>
        </is>
      </c>
      <c r="W1" s="1" t="inlineStr">
        <is>
          <t>B_umol_l</t>
        </is>
      </c>
      <c r="X1" s="1" t="inlineStr">
        <is>
          <t>Cu_umol_l</t>
        </is>
      </c>
      <c r="Y1" s="1" t="inlineStr">
        <is>
          <t>Mo_umol_l</t>
        </is>
      </c>
      <c r="Z1" s="1" t="inlineStr">
        <is>
          <t>Na_max_mmol_l</t>
        </is>
      </c>
    </row>
    <row r="2">
      <c r="A2" s="2" t="inlineStr">
        <is>
          <t>soft_fruits</t>
        </is>
      </c>
      <c r="B2" s="2" t="inlineStr">
        <is>
          <t>blueberry</t>
        </is>
      </c>
      <c r="C2" s="2" t="inlineStr">
        <is>
          <t>Blueberry</t>
        </is>
      </c>
      <c r="D2" s="2" t="inlineStr">
        <is>
          <t>蓝莓</t>
        </is>
      </c>
      <c r="E2" s="2" t="inlineStr">
        <is>
          <t>ORGANIC_MATERIAL</t>
        </is>
      </c>
      <c r="F2" s="2" t="inlineStr">
        <is>
          <t>1:1.5_volume</t>
        </is>
      </c>
      <c r="G2" s="2" t="n">
        <v>57</v>
      </c>
      <c r="H2" s="2" t="n">
        <v>0.7</v>
      </c>
      <c r="I2" s="2" t="n">
        <v>1.3</v>
      </c>
      <c r="J2" s="2" t="n">
        <v>5.3</v>
      </c>
      <c r="K2" s="2" t="inlineStr">
        <is>
          <t>fertigation</t>
        </is>
      </c>
      <c r="L2" s="2" t="n">
        <v>1</v>
      </c>
      <c r="M2" s="2" t="n">
        <v>8.5</v>
      </c>
      <c r="N2" s="2" t="n">
        <v>1.1</v>
      </c>
      <c r="O2" s="2" t="n">
        <v>2.6</v>
      </c>
      <c r="P2" s="2" t="n">
        <v>3</v>
      </c>
      <c r="Q2" s="2" t="n">
        <v>1.1</v>
      </c>
      <c r="R2" s="2" t="n">
        <v>1</v>
      </c>
      <c r="S2" s="2" t="n">
        <v>0</v>
      </c>
      <c r="T2" s="2" t="n">
        <v>18</v>
      </c>
      <c r="U2" s="2" t="n">
        <v>7.5</v>
      </c>
      <c r="V2" s="2" t="n">
        <v>4</v>
      </c>
      <c r="W2" s="2" t="n">
        <v>20</v>
      </c>
      <c r="X2" s="2" t="n">
        <v>1</v>
      </c>
      <c r="Y2" s="2" t="n">
        <v>0.5</v>
      </c>
      <c r="Z2" s="2" t="n">
        <v>2</v>
      </c>
    </row>
    <row r="3">
      <c r="A3" s="3" t="inlineStr">
        <is>
          <t>soft_fruits</t>
        </is>
      </c>
      <c r="B3" s="3" t="inlineStr">
        <is>
          <t>blueberry</t>
        </is>
      </c>
      <c r="C3" s="3" t="inlineStr">
        <is>
          <t>Blueberry</t>
        </is>
      </c>
      <c r="D3" s="3" t="inlineStr">
        <is>
          <t>蓝莓</t>
        </is>
      </c>
      <c r="E3" s="3" t="inlineStr">
        <is>
          <t>ORGANIC_MATERIAL</t>
        </is>
      </c>
      <c r="F3" s="3" t="inlineStr">
        <is>
          <t>1:1.5_volume</t>
        </is>
      </c>
      <c r="G3" s="3" t="n">
        <v>57</v>
      </c>
      <c r="H3" s="3" t="n">
        <v>0.7</v>
      </c>
      <c r="I3" s="3" t="n">
        <v>1.3</v>
      </c>
      <c r="J3" s="3" t="n">
        <v>5.3</v>
      </c>
      <c r="K3" s="3" t="inlineStr">
        <is>
          <t>fruit_set</t>
        </is>
      </c>
      <c r="L3" s="3" t="n">
        <v>1</v>
      </c>
      <c r="M3" s="3" t="n">
        <v>8.5</v>
      </c>
      <c r="N3" s="3" t="n">
        <v>0.9</v>
      </c>
      <c r="O3" s="3" t="n">
        <v>4</v>
      </c>
      <c r="P3" s="3" t="n">
        <v>2.2</v>
      </c>
      <c r="Q3" s="3" t="n">
        <v>1.2</v>
      </c>
      <c r="R3" s="3" t="n">
        <v>1.1</v>
      </c>
      <c r="S3" s="3" t="n">
        <v>0</v>
      </c>
      <c r="T3" s="3" t="n">
        <v>18</v>
      </c>
      <c r="U3" s="3" t="n">
        <v>7.5</v>
      </c>
      <c r="V3" s="3" t="n">
        <v>4</v>
      </c>
      <c r="W3" s="3" t="n">
        <v>20</v>
      </c>
      <c r="X3" s="3" t="n">
        <v>1</v>
      </c>
      <c r="Y3" s="3" t="n">
        <v>0.5</v>
      </c>
      <c r="Z3" s="3" t="n">
        <v>2</v>
      </c>
    </row>
    <row r="4">
      <c r="A4" s="2" t="inlineStr">
        <is>
          <t>soft_fruits</t>
        </is>
      </c>
      <c r="B4" s="2" t="inlineStr">
        <is>
          <t>raspberry</t>
        </is>
      </c>
      <c r="C4" s="2" t="inlineStr">
        <is>
          <t>Raspberry</t>
        </is>
      </c>
      <c r="D4" s="2" t="inlineStr">
        <is>
          <t>覆盆子</t>
        </is>
      </c>
      <c r="E4" s="2" t="inlineStr">
        <is>
          <t>ORGANIC_MATERIAL</t>
        </is>
      </c>
      <c r="F4" s="2" t="inlineStr">
        <is>
          <t>1:1.5_volume</t>
        </is>
      </c>
      <c r="G4" s="2" t="n">
        <v>58</v>
      </c>
      <c r="H4" s="2" t="n">
        <v>1</v>
      </c>
      <c r="I4" s="2" t="n">
        <v>2</v>
      </c>
      <c r="J4" s="2" t="n">
        <v>5.3</v>
      </c>
      <c r="K4" s="2" t="inlineStr">
        <is>
          <t>fertigation</t>
        </is>
      </c>
      <c r="L4" s="2" t="n">
        <v>0.9</v>
      </c>
      <c r="M4" s="2" t="n">
        <v>13.5</v>
      </c>
      <c r="N4" s="2" t="n">
        <v>1.25</v>
      </c>
      <c r="O4" s="2" t="n">
        <v>5.35</v>
      </c>
      <c r="P4" s="2" t="n">
        <v>4.5</v>
      </c>
      <c r="Q4" s="2" t="n">
        <v>1.75</v>
      </c>
      <c r="R4" s="2" t="n">
        <v>2</v>
      </c>
      <c r="S4" s="2" t="n">
        <v>0</v>
      </c>
      <c r="T4" s="2" t="n">
        <v>20</v>
      </c>
      <c r="U4" s="2" t="n">
        <v>10</v>
      </c>
      <c r="V4" s="2" t="n">
        <v>5</v>
      </c>
      <c r="W4" s="2" t="n">
        <v>10</v>
      </c>
      <c r="X4" s="2" t="n">
        <v>0.75</v>
      </c>
      <c r="Y4" s="2" t="n">
        <v>0.5</v>
      </c>
      <c r="Z4" s="2" t="n">
        <v>4</v>
      </c>
    </row>
    <row r="5">
      <c r="A5" s="3" t="inlineStr">
        <is>
          <t>soft_fruits</t>
        </is>
      </c>
      <c r="B5" s="3" t="inlineStr">
        <is>
          <t>raspberry</t>
        </is>
      </c>
      <c r="C5" s="3" t="inlineStr">
        <is>
          <t>Raspberry</t>
        </is>
      </c>
      <c r="D5" s="3" t="inlineStr">
        <is>
          <t>覆盆子</t>
        </is>
      </c>
      <c r="E5" s="3" t="inlineStr">
        <is>
          <t>ORGANIC_MATERIAL</t>
        </is>
      </c>
      <c r="F5" s="3" t="inlineStr">
        <is>
          <t>1:1.5_volume</t>
        </is>
      </c>
      <c r="G5" s="3" t="n">
        <v>58</v>
      </c>
      <c r="H5" s="3" t="n">
        <v>1</v>
      </c>
      <c r="I5" s="3" t="n">
        <v>2</v>
      </c>
      <c r="J5" s="3" t="n">
        <v>5.3</v>
      </c>
      <c r="K5" s="3" t="inlineStr">
        <is>
          <t>fruit_set</t>
        </is>
      </c>
      <c r="L5" s="3" t="n">
        <v>0.9</v>
      </c>
      <c r="M5" s="3" t="n">
        <v>13</v>
      </c>
      <c r="N5" s="3" t="n">
        <v>1.25</v>
      </c>
      <c r="O5" s="3" t="n">
        <v>5.85</v>
      </c>
      <c r="P5" s="3" t="n">
        <v>4</v>
      </c>
      <c r="Q5" s="3" t="n">
        <v>1.75</v>
      </c>
      <c r="R5" s="3" t="n">
        <v>2</v>
      </c>
      <c r="S5" s="3" t="n">
        <v>0</v>
      </c>
      <c r="T5" s="3" t="n">
        <v>20</v>
      </c>
      <c r="U5" s="3" t="n">
        <v>10</v>
      </c>
      <c r="V5" s="3" t="n">
        <v>5</v>
      </c>
      <c r="W5" s="3" t="n">
        <v>10</v>
      </c>
      <c r="X5" s="3" t="n">
        <v>0.75</v>
      </c>
      <c r="Y5" s="3" t="n">
        <v>0.5</v>
      </c>
      <c r="Z5" s="3" t="n">
        <v>4</v>
      </c>
    </row>
    <row r="6">
      <c r="A6" s="2" t="inlineStr">
        <is>
          <t>soft_fruits</t>
        </is>
      </c>
      <c r="B6" s="2" t="inlineStr">
        <is>
          <t>strawberry</t>
        </is>
      </c>
      <c r="C6" s="2" t="inlineStr">
        <is>
          <t>Strawberry</t>
        </is>
      </c>
      <c r="D6" s="2" t="inlineStr">
        <is>
          <t>草莓</t>
        </is>
      </c>
      <c r="E6" s="2" t="inlineStr">
        <is>
          <t>INERT_SUBSTRATE</t>
        </is>
      </c>
      <c r="F6" s="2" t="inlineStr">
        <is>
          <t>direct</t>
        </is>
      </c>
      <c r="G6" s="2" t="n">
        <v>59</v>
      </c>
      <c r="H6" s="2" t="n">
        <v>2</v>
      </c>
      <c r="I6" s="2" t="n">
        <v>1.6</v>
      </c>
      <c r="J6" s="2" t="n">
        <v>5.3</v>
      </c>
      <c r="K6" s="2" t="inlineStr">
        <is>
          <t>fertigation</t>
        </is>
      </c>
      <c r="L6" s="2" t="n">
        <v>1</v>
      </c>
      <c r="M6" s="2" t="n">
        <v>12</v>
      </c>
      <c r="N6" s="2" t="n">
        <v>1</v>
      </c>
      <c r="O6" s="2" t="n">
        <v>4.8</v>
      </c>
      <c r="P6" s="2" t="n">
        <v>3.6</v>
      </c>
      <c r="Q6" s="2" t="n">
        <v>1.5</v>
      </c>
      <c r="R6" s="2" t="n">
        <v>1.5</v>
      </c>
      <c r="S6" s="2" t="n">
        <v>0</v>
      </c>
      <c r="T6" s="2" t="n">
        <v>30</v>
      </c>
      <c r="U6" s="2" t="n">
        <v>10</v>
      </c>
      <c r="V6" s="2" t="n">
        <v>7</v>
      </c>
      <c r="W6" s="2" t="n">
        <v>10</v>
      </c>
      <c r="X6" s="2" t="n">
        <v>0.75</v>
      </c>
      <c r="Y6" s="2" t="n">
        <v>0.5</v>
      </c>
      <c r="Z6" s="2" t="n">
        <v>4</v>
      </c>
    </row>
    <row r="7">
      <c r="A7" s="3" t="inlineStr">
        <is>
          <t>soft_fruits</t>
        </is>
      </c>
      <c r="B7" s="3" t="inlineStr">
        <is>
          <t>strawberry</t>
        </is>
      </c>
      <c r="C7" s="3" t="inlineStr">
        <is>
          <t>Strawberry</t>
        </is>
      </c>
      <c r="D7" s="3" t="inlineStr">
        <is>
          <t>草莓</t>
        </is>
      </c>
      <c r="E7" s="3" t="inlineStr">
        <is>
          <t>INERT_SUBSTRATE</t>
        </is>
      </c>
      <c r="F7" s="3" t="inlineStr">
        <is>
          <t>direct</t>
        </is>
      </c>
      <c r="G7" s="3" t="n">
        <v>59</v>
      </c>
      <c r="H7" s="3" t="n">
        <v>2</v>
      </c>
      <c r="I7" s="3" t="n">
        <v>1.6</v>
      </c>
      <c r="J7" s="3" t="n">
        <v>5.3</v>
      </c>
      <c r="K7" s="3" t="inlineStr">
        <is>
          <t>start</t>
        </is>
      </c>
      <c r="L7" s="3" t="n">
        <v>1</v>
      </c>
      <c r="M7" s="3" t="n">
        <v>13.75</v>
      </c>
      <c r="N7" s="3" t="n">
        <v>1.25</v>
      </c>
      <c r="O7" s="3" t="n">
        <v>4.8</v>
      </c>
      <c r="P7" s="3" t="n">
        <v>4.6</v>
      </c>
      <c r="Q7" s="3" t="n">
        <v>1.5</v>
      </c>
      <c r="R7" s="3" t="n">
        <v>1.5</v>
      </c>
      <c r="S7" s="3" t="n">
        <v>0</v>
      </c>
      <c r="T7" s="3" t="n">
        <v>40</v>
      </c>
      <c r="U7" s="3" t="n">
        <v>15</v>
      </c>
      <c r="V7" s="3" t="n">
        <v>7</v>
      </c>
      <c r="W7" s="3" t="n">
        <v>20</v>
      </c>
      <c r="X7" s="3" t="n">
        <v>0.75</v>
      </c>
      <c r="Y7" s="3" t="n">
        <v>0.5</v>
      </c>
      <c r="Z7" s="3" t="n">
        <v>4</v>
      </c>
    </row>
    <row r="8">
      <c r="A8" s="2" t="inlineStr">
        <is>
          <t>soft_fruits</t>
        </is>
      </c>
      <c r="B8" s="2" t="inlineStr">
        <is>
          <t>strawberry</t>
        </is>
      </c>
      <c r="C8" s="2" t="inlineStr">
        <is>
          <t>Strawberry</t>
        </is>
      </c>
      <c r="D8" s="2" t="inlineStr">
        <is>
          <t>草莓</t>
        </is>
      </c>
      <c r="E8" s="2" t="inlineStr">
        <is>
          <t>INERT_SUBSTRATE</t>
        </is>
      </c>
      <c r="F8" s="2" t="inlineStr">
        <is>
          <t>direct</t>
        </is>
      </c>
      <c r="G8" s="2" t="n">
        <v>59</v>
      </c>
      <c r="H8" s="2" t="n">
        <v>2</v>
      </c>
      <c r="I8" s="2" t="n">
        <v>1.6</v>
      </c>
      <c r="J8" s="2" t="n">
        <v>5.3</v>
      </c>
      <c r="K8" s="2" t="inlineStr">
        <is>
          <t>fruit_set</t>
        </is>
      </c>
      <c r="L8" s="2" t="n">
        <v>0.5</v>
      </c>
      <c r="M8" s="2" t="n">
        <v>13.5</v>
      </c>
      <c r="N8" s="2" t="n">
        <v>1</v>
      </c>
      <c r="O8" s="2" t="n">
        <v>6.8</v>
      </c>
      <c r="P8" s="2" t="n">
        <v>3.6</v>
      </c>
      <c r="Q8" s="2" t="n">
        <v>1.5</v>
      </c>
      <c r="R8" s="2" t="n">
        <v>1.5</v>
      </c>
      <c r="S8" s="2" t="n">
        <v>0</v>
      </c>
      <c r="T8" s="2" t="n">
        <v>30</v>
      </c>
      <c r="U8" s="2" t="n">
        <v>10</v>
      </c>
      <c r="V8" s="2" t="n">
        <v>7</v>
      </c>
      <c r="W8" s="2" t="n">
        <v>10</v>
      </c>
      <c r="X8" s="2" t="n">
        <v>0.75</v>
      </c>
      <c r="Y8" s="2" t="n">
        <v>0.5</v>
      </c>
      <c r="Z8" s="2" t="n">
        <v>4</v>
      </c>
    </row>
    <row r="9">
      <c r="A9" s="3" t="inlineStr">
        <is>
          <t>soft_fruits</t>
        </is>
      </c>
      <c r="B9" s="3" t="inlineStr">
        <is>
          <t>strawberry</t>
        </is>
      </c>
      <c r="C9" s="3" t="inlineStr">
        <is>
          <t>Strawberry</t>
        </is>
      </c>
      <c r="D9" s="3" t="inlineStr">
        <is>
          <t>草莓</t>
        </is>
      </c>
      <c r="E9" s="3" t="inlineStr">
        <is>
          <t>ORGANIC_MATERIAL</t>
        </is>
      </c>
      <c r="F9" s="3" t="inlineStr">
        <is>
          <t>1:1.5_volume</t>
        </is>
      </c>
      <c r="G9" s="3" t="n">
        <v>60</v>
      </c>
      <c r="H9" s="3" t="n">
        <v>1</v>
      </c>
      <c r="I9" s="3" t="n">
        <v>1.6</v>
      </c>
      <c r="J9" s="3" t="n">
        <v>5.3</v>
      </c>
      <c r="K9" s="3" t="inlineStr">
        <is>
          <t>fertigation</t>
        </is>
      </c>
      <c r="L9" s="3" t="n">
        <v>0.75</v>
      </c>
      <c r="M9" s="3" t="n">
        <v>11.75</v>
      </c>
      <c r="N9" s="3" t="n">
        <v>1</v>
      </c>
      <c r="O9" s="3" t="n">
        <v>4.5</v>
      </c>
      <c r="P9" s="3" t="n">
        <v>3.75</v>
      </c>
      <c r="Q9" s="3" t="n">
        <v>1.5</v>
      </c>
      <c r="R9" s="3" t="n">
        <v>1.5</v>
      </c>
      <c r="S9" s="3" t="n">
        <v>0</v>
      </c>
      <c r="T9" s="3" t="n">
        <v>30</v>
      </c>
      <c r="U9" s="3" t="n">
        <v>10</v>
      </c>
      <c r="V9" s="3" t="n">
        <v>7</v>
      </c>
      <c r="W9" s="3" t="n">
        <v>10</v>
      </c>
      <c r="X9" s="3" t="n">
        <v>0.75</v>
      </c>
      <c r="Y9" s="3" t="n">
        <v>0.5</v>
      </c>
      <c r="Z9" s="3" t="n">
        <v>1.5</v>
      </c>
    </row>
    <row r="10">
      <c r="A10" s="2" t="inlineStr">
        <is>
          <t>soft_fruits</t>
        </is>
      </c>
      <c r="B10" s="2" t="inlineStr">
        <is>
          <t>strawberry</t>
        </is>
      </c>
      <c r="C10" s="2" t="inlineStr">
        <is>
          <t>Strawberry</t>
        </is>
      </c>
      <c r="D10" s="2" t="inlineStr">
        <is>
          <t>草莓</t>
        </is>
      </c>
      <c r="E10" s="2" t="inlineStr">
        <is>
          <t>ORGANIC_MATERIAL</t>
        </is>
      </c>
      <c r="F10" s="2" t="inlineStr">
        <is>
          <t>1:1.5_volume</t>
        </is>
      </c>
      <c r="G10" s="2" t="n">
        <v>60</v>
      </c>
      <c r="H10" s="2" t="n">
        <v>1</v>
      </c>
      <c r="I10" s="2" t="n">
        <v>1.6</v>
      </c>
      <c r="J10" s="2" t="n">
        <v>5.3</v>
      </c>
      <c r="K10" s="2" t="inlineStr">
        <is>
          <t>start</t>
        </is>
      </c>
      <c r="L10" s="2" t="n">
        <v>0.75</v>
      </c>
      <c r="M10" s="2" t="n">
        <v>13.5</v>
      </c>
      <c r="N10" s="2" t="n">
        <v>1.25</v>
      </c>
      <c r="O10" s="2" t="n">
        <v>4.5</v>
      </c>
      <c r="P10" s="2" t="n">
        <v>4.75</v>
      </c>
      <c r="Q10" s="2" t="n">
        <v>1.5</v>
      </c>
      <c r="R10" s="2" t="n">
        <v>1.5</v>
      </c>
      <c r="S10" s="2" t="n">
        <v>0</v>
      </c>
      <c r="T10" s="2" t="n">
        <v>40</v>
      </c>
      <c r="U10" s="2" t="n">
        <v>15</v>
      </c>
      <c r="V10" s="2" t="n">
        <v>7</v>
      </c>
      <c r="W10" s="2" t="n">
        <v>20</v>
      </c>
      <c r="X10" s="2" t="n">
        <v>0.75</v>
      </c>
      <c r="Y10" s="2" t="n">
        <v>0.5</v>
      </c>
      <c r="Z10" s="2" t="n">
        <v>1.5</v>
      </c>
    </row>
    <row r="11">
      <c r="A11" s="3" t="inlineStr">
        <is>
          <t>soft_fruits</t>
        </is>
      </c>
      <c r="B11" s="3" t="inlineStr">
        <is>
          <t>strawberry</t>
        </is>
      </c>
      <c r="C11" s="3" t="inlineStr">
        <is>
          <t>Strawberry</t>
        </is>
      </c>
      <c r="D11" s="3" t="inlineStr">
        <is>
          <t>草莓</t>
        </is>
      </c>
      <c r="E11" s="3" t="inlineStr">
        <is>
          <t>ORGANIC_MATERIAL</t>
        </is>
      </c>
      <c r="F11" s="3" t="inlineStr">
        <is>
          <t>1:1.5_volume</t>
        </is>
      </c>
      <c r="G11" s="3" t="n">
        <v>60</v>
      </c>
      <c r="H11" s="3" t="n">
        <v>1</v>
      </c>
      <c r="I11" s="3" t="n">
        <v>1.6</v>
      </c>
      <c r="J11" s="3" t="n">
        <v>5.3</v>
      </c>
      <c r="K11" s="3" t="inlineStr">
        <is>
          <t>fruit_set</t>
        </is>
      </c>
      <c r="L11" s="3" t="n">
        <v>0.25</v>
      </c>
      <c r="M11" s="3" t="n">
        <v>13.25</v>
      </c>
      <c r="N11" s="3" t="n">
        <v>1</v>
      </c>
      <c r="O11" s="3" t="n">
        <v>6.5</v>
      </c>
      <c r="P11" s="3" t="n">
        <v>3.75</v>
      </c>
      <c r="Q11" s="3" t="n">
        <v>1.5</v>
      </c>
      <c r="R11" s="3" t="n">
        <v>1.5</v>
      </c>
      <c r="S11" s="3" t="n">
        <v>0</v>
      </c>
      <c r="T11" s="3" t="n">
        <v>30</v>
      </c>
      <c r="U11" s="3" t="n">
        <v>10</v>
      </c>
      <c r="V11" s="3" t="n">
        <v>7</v>
      </c>
      <c r="W11" s="3" t="n">
        <v>10</v>
      </c>
      <c r="X11" s="3" t="n">
        <v>0.75</v>
      </c>
      <c r="Y11" s="3" t="n">
        <v>0.5</v>
      </c>
      <c r="Z11" s="3" t="n">
        <v>1.5</v>
      </c>
    </row>
    <row r="12">
      <c r="A12" s="2" t="inlineStr">
        <is>
          <t>soft_fruits</t>
        </is>
      </c>
      <c r="B12" s="2" t="inlineStr">
        <is>
          <t>strawberry</t>
        </is>
      </c>
      <c r="C12" s="2" t="inlineStr">
        <is>
          <t>Strawberry</t>
        </is>
      </c>
      <c r="D12" s="2" t="inlineStr">
        <is>
          <t>草莓</t>
        </is>
      </c>
      <c r="E12" s="2" t="inlineStr">
        <is>
          <t>SOIL</t>
        </is>
      </c>
      <c r="F12" s="2" t="inlineStr">
        <is>
          <t>1:2_volume</t>
        </is>
      </c>
      <c r="G12" s="2" t="n">
        <v>61</v>
      </c>
      <c r="H12" s="2" t="n">
        <v>0.8</v>
      </c>
      <c r="I12" s="2" t="n">
        <v>1</v>
      </c>
      <c r="J12" s="2" t="n">
        <v>5.7</v>
      </c>
      <c r="K12" s="2" t="inlineStr">
        <is>
          <t>fertigation</t>
        </is>
      </c>
      <c r="L12" s="2" t="n">
        <v>0.8</v>
      </c>
      <c r="M12" s="2" t="n">
        <v>7.3</v>
      </c>
      <c r="N12" s="2" t="n">
        <v>0.5</v>
      </c>
      <c r="O12" s="2" t="n">
        <v>3</v>
      </c>
      <c r="P12" s="2" t="n">
        <v>2</v>
      </c>
      <c r="Q12" s="2" t="n">
        <v>1</v>
      </c>
      <c r="R12" s="2" t="n">
        <v>1</v>
      </c>
      <c r="S12" s="2" t="n">
        <v>0</v>
      </c>
      <c r="T12" s="2" t="n">
        <v>5</v>
      </c>
      <c r="U12" s="2" t="n">
        <v>2</v>
      </c>
      <c r="V12" s="2" t="n">
        <v>1</v>
      </c>
      <c r="W12" s="2" t="n">
        <v>10</v>
      </c>
      <c r="X12" s="2" t="n">
        <v>0.3</v>
      </c>
      <c r="Y12" s="2" t="n">
        <v>0</v>
      </c>
      <c r="Z12" s="2" t="n">
        <v>1.5</v>
      </c>
    </row>
  </sheetData>
  <conditionalFormatting sqref="I2:I12">
    <cfRule type="colorScale" priority="1">
      <colorScale>
        <cfvo type="min"/>
        <cfvo type="max"/>
        <color rgb="00FFFFFF"/>
        <color rgb="001E4D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category</t>
        </is>
      </c>
      <c r="B1" s="1" t="inlineStr">
        <is>
          <t>crop_id</t>
        </is>
      </c>
      <c r="C1" s="1" t="inlineStr">
        <is>
          <t>crop_en</t>
        </is>
      </c>
      <c r="D1" s="1" t="inlineStr">
        <is>
          <t>crop_zh</t>
        </is>
      </c>
      <c r="E1" s="1" t="inlineStr">
        <is>
          <t>substrate_type</t>
        </is>
      </c>
      <c r="F1" s="1" t="inlineStr">
        <is>
          <t>extract_method</t>
        </is>
      </c>
      <c r="G1" s="1" t="inlineStr">
        <is>
          <t>source_page</t>
        </is>
      </c>
      <c r="H1" s="1" t="inlineStr">
        <is>
          <t>ec_root_zone</t>
        </is>
      </c>
      <c r="I1" s="1" t="inlineStr">
        <is>
          <t>ec_fertigation</t>
        </is>
      </c>
      <c r="J1" s="1" t="inlineStr">
        <is>
          <t>ph_fertigation</t>
        </is>
      </c>
      <c r="K1" s="1" t="inlineStr">
        <is>
          <t>growth_stage</t>
        </is>
      </c>
      <c r="L1" s="1" t="inlineStr">
        <is>
          <t>NH4_mmol_l</t>
        </is>
      </c>
      <c r="M1" s="1" t="inlineStr">
        <is>
          <t>NO3_mmol_l</t>
        </is>
      </c>
      <c r="N1" s="1" t="inlineStr">
        <is>
          <t>P_mmol_l</t>
        </is>
      </c>
      <c r="O1" s="1" t="inlineStr">
        <is>
          <t>K_mmol_l</t>
        </is>
      </c>
      <c r="P1" s="1" t="inlineStr">
        <is>
          <t>Ca_mmol_l</t>
        </is>
      </c>
      <c r="Q1" s="1" t="inlineStr">
        <is>
          <t>Mg_mmol_l</t>
        </is>
      </c>
      <c r="R1" s="1" t="inlineStr">
        <is>
          <t>S_mmol_l</t>
        </is>
      </c>
      <c r="S1" s="1" t="inlineStr">
        <is>
          <t>Cl_mmol_l</t>
        </is>
      </c>
      <c r="T1" s="1" t="inlineStr">
        <is>
          <t>Fe_umol_l</t>
        </is>
      </c>
      <c r="U1" s="1" t="inlineStr">
        <is>
          <t>Mn_umol_l</t>
        </is>
      </c>
      <c r="V1" s="1" t="inlineStr">
        <is>
          <t>Zn_umol_l</t>
        </is>
      </c>
      <c r="W1" s="1" t="inlineStr">
        <is>
          <t>B_umol_l</t>
        </is>
      </c>
      <c r="X1" s="1" t="inlineStr">
        <is>
          <t>Cu_umol_l</t>
        </is>
      </c>
      <c r="Y1" s="1" t="inlineStr">
        <is>
          <t>Mo_umol_l</t>
        </is>
      </c>
      <c r="Z1" s="1" t="inlineStr">
        <is>
          <t>Na_max_mmol_l</t>
        </is>
      </c>
    </row>
    <row r="2">
      <c r="A2" s="2" t="inlineStr">
        <is>
          <t>leafy_vegetables</t>
        </is>
      </c>
      <c r="B2" s="2" t="inlineStr">
        <is>
          <t>herbs</t>
        </is>
      </c>
      <c r="C2" s="2" t="inlineStr">
        <is>
          <t>Herbs</t>
        </is>
      </c>
      <c r="D2" s="2" t="inlineStr">
        <is>
          <t>香草类</t>
        </is>
      </c>
      <c r="E2" s="2" t="inlineStr">
        <is>
          <t>INERT_SUBSTRATE</t>
        </is>
      </c>
      <c r="F2" s="2" t="inlineStr">
        <is>
          <t>direct</t>
        </is>
      </c>
      <c r="G2" s="2" t="n">
        <v>64</v>
      </c>
      <c r="H2" s="2" t="n">
        <v>3</v>
      </c>
      <c r="I2" s="2" t="n">
        <v>2.4</v>
      </c>
      <c r="J2" s="2" t="n">
        <v>5.3</v>
      </c>
      <c r="K2" s="2" t="inlineStr">
        <is>
          <t>fertigation</t>
        </is>
      </c>
      <c r="L2" s="2" t="n">
        <v>1.25</v>
      </c>
      <c r="M2" s="2" t="n">
        <v>16.75</v>
      </c>
      <c r="N2" s="2" t="n">
        <v>1.25</v>
      </c>
      <c r="O2" s="2" t="n">
        <v>6.75</v>
      </c>
      <c r="P2" s="2" t="n">
        <v>4.5</v>
      </c>
      <c r="Q2" s="2" t="n">
        <v>3</v>
      </c>
      <c r="R2" s="2" t="n">
        <v>2.5</v>
      </c>
      <c r="S2" s="2" t="n">
        <v>0</v>
      </c>
      <c r="T2" s="2" t="n">
        <v>25</v>
      </c>
      <c r="U2" s="2" t="n">
        <v>10</v>
      </c>
      <c r="V2" s="2" t="n">
        <v>5</v>
      </c>
      <c r="W2" s="2" t="n">
        <v>35</v>
      </c>
      <c r="X2" s="2" t="n">
        <v>1</v>
      </c>
      <c r="Y2" s="2" t="n">
        <v>0.5</v>
      </c>
      <c r="Z2" s="2" t="n">
        <v>4</v>
      </c>
    </row>
    <row r="3">
      <c r="A3" s="3" t="inlineStr">
        <is>
          <t>leafy_vegetables</t>
        </is>
      </c>
      <c r="B3" s="3" t="inlineStr">
        <is>
          <t>herbs</t>
        </is>
      </c>
      <c r="C3" s="3" t="inlineStr">
        <is>
          <t>Herbs</t>
        </is>
      </c>
      <c r="D3" s="3" t="inlineStr">
        <is>
          <t>香草类</t>
        </is>
      </c>
      <c r="E3" s="3" t="inlineStr">
        <is>
          <t>ORGANIC_MATERIAL</t>
        </is>
      </c>
      <c r="F3" s="3" t="inlineStr">
        <is>
          <t>1:1.5_volume</t>
        </is>
      </c>
      <c r="G3" s="3" t="n">
        <v>65</v>
      </c>
      <c r="H3" s="3" t="n">
        <v>0.8</v>
      </c>
      <c r="I3" s="3" t="n">
        <v>1.7</v>
      </c>
      <c r="J3" s="3" t="n">
        <v>5.3</v>
      </c>
      <c r="K3" s="3" t="inlineStr">
        <is>
          <t>fertigation</t>
        </is>
      </c>
      <c r="L3" s="3" t="n">
        <v>1.2</v>
      </c>
      <c r="M3" s="3" t="n">
        <v>12.1</v>
      </c>
      <c r="N3" s="3" t="n">
        <v>1.1</v>
      </c>
      <c r="O3" s="3" t="n">
        <v>6.1</v>
      </c>
      <c r="P3" s="3" t="n">
        <v>3.3</v>
      </c>
      <c r="Q3" s="3" t="n">
        <v>0.85</v>
      </c>
      <c r="R3" s="3" t="n">
        <v>1.2</v>
      </c>
      <c r="S3" s="3" t="n">
        <v>0</v>
      </c>
      <c r="T3" s="3" t="n">
        <v>20</v>
      </c>
      <c r="U3" s="3" t="n">
        <v>5</v>
      </c>
      <c r="V3" s="3" t="n">
        <v>3</v>
      </c>
      <c r="W3" s="3" t="n">
        <v>10</v>
      </c>
      <c r="X3" s="3" t="n">
        <v>0.5</v>
      </c>
      <c r="Y3" s="3" t="n">
        <v>0.5</v>
      </c>
      <c r="Z3" s="3" t="n">
        <v>2</v>
      </c>
    </row>
    <row r="4">
      <c r="A4" s="2" t="inlineStr">
        <is>
          <t>leafy_vegetables</t>
        </is>
      </c>
      <c r="B4" s="2" t="inlineStr">
        <is>
          <t>lettuce</t>
        </is>
      </c>
      <c r="C4" s="2" t="inlineStr">
        <is>
          <t>Lettuce</t>
        </is>
      </c>
      <c r="D4" s="2" t="inlineStr">
        <is>
          <t>生菜</t>
        </is>
      </c>
      <c r="E4" s="2" t="inlineStr">
        <is>
          <t>INERT_SUBSTRATE</t>
        </is>
      </c>
      <c r="F4" s="2" t="inlineStr">
        <is>
          <t>direct</t>
        </is>
      </c>
      <c r="G4" s="2" t="n">
        <v>66</v>
      </c>
      <c r="H4" s="2" t="n">
        <v>2.5</v>
      </c>
      <c r="I4" s="2" t="n">
        <v>2.2</v>
      </c>
      <c r="J4" s="2" t="n">
        <v>5.3</v>
      </c>
      <c r="K4" s="2" t="inlineStr">
        <is>
          <t>fertigation</t>
        </is>
      </c>
      <c r="L4" s="2" t="n">
        <v>1</v>
      </c>
      <c r="M4" s="2" t="n">
        <v>16</v>
      </c>
      <c r="N4" s="2" t="n">
        <v>1.5</v>
      </c>
      <c r="O4" s="2" t="n">
        <v>9.5</v>
      </c>
      <c r="P4" s="2" t="n">
        <v>4.5</v>
      </c>
      <c r="Q4" s="2" t="n">
        <v>1</v>
      </c>
      <c r="R4" s="2" t="n">
        <v>2</v>
      </c>
      <c r="S4" s="2" t="n">
        <v>0</v>
      </c>
      <c r="T4" s="2" t="n">
        <v>40</v>
      </c>
      <c r="U4" s="2" t="n">
        <v>7</v>
      </c>
      <c r="V4" s="2" t="n">
        <v>7</v>
      </c>
      <c r="W4" s="2" t="n">
        <v>40</v>
      </c>
      <c r="X4" s="2" t="n">
        <v>1</v>
      </c>
      <c r="Y4" s="2" t="n">
        <v>1</v>
      </c>
      <c r="Z4" s="2" t="n">
        <v>6</v>
      </c>
    </row>
    <row r="5">
      <c r="A5" s="3" t="inlineStr">
        <is>
          <t>leafy_vegetables</t>
        </is>
      </c>
      <c r="B5" s="3" t="inlineStr">
        <is>
          <t>lettuce</t>
        </is>
      </c>
      <c r="C5" s="3" t="inlineStr">
        <is>
          <t>Lettuce</t>
        </is>
      </c>
      <c r="D5" s="3" t="inlineStr">
        <is>
          <t>生菜</t>
        </is>
      </c>
      <c r="E5" s="3" t="inlineStr">
        <is>
          <t>SOIL</t>
        </is>
      </c>
      <c r="F5" s="3" t="inlineStr">
        <is>
          <t>1:2_volume</t>
        </is>
      </c>
      <c r="G5" s="3" t="n">
        <v>67</v>
      </c>
      <c r="H5" s="3" t="n">
        <v>1</v>
      </c>
      <c r="I5" s="3" t="n">
        <v>1.2</v>
      </c>
      <c r="J5" s="3" t="n">
        <v>6</v>
      </c>
      <c r="K5" s="3" t="inlineStr">
        <is>
          <t>fertigation</t>
        </is>
      </c>
      <c r="L5" s="3" t="n">
        <v>0.1</v>
      </c>
      <c r="M5" s="3" t="n">
        <v>5</v>
      </c>
      <c r="N5" s="3" t="n">
        <v>0.1</v>
      </c>
      <c r="O5" s="3" t="n">
        <v>3</v>
      </c>
      <c r="P5" s="3" t="n">
        <v>3.25</v>
      </c>
      <c r="Q5" s="3" t="n">
        <v>1</v>
      </c>
      <c r="R5" s="3" t="n">
        <v>3.5</v>
      </c>
      <c r="S5" s="3" t="n">
        <v>2</v>
      </c>
      <c r="T5" s="3" t="n">
        <v>5</v>
      </c>
      <c r="U5" s="3" t="n">
        <v>0.5</v>
      </c>
      <c r="V5" s="3" t="n">
        <v>0.5</v>
      </c>
      <c r="W5" s="3" t="n">
        <v>10</v>
      </c>
      <c r="X5" s="3" t="n">
        <v>0.3</v>
      </c>
      <c r="Y5" s="3" t="n">
        <v>0.2</v>
      </c>
      <c r="Z5" s="3" t="n">
        <v>2</v>
      </c>
    </row>
    <row r="6">
      <c r="A6" s="2" t="inlineStr">
        <is>
          <t>leafy_vegetables</t>
        </is>
      </c>
      <c r="B6" s="2" t="inlineStr">
        <is>
          <t>microgreens</t>
        </is>
      </c>
      <c r="C6" s="2" t="inlineStr">
        <is>
          <t>Microgreens</t>
        </is>
      </c>
      <c r="D6" s="2" t="inlineStr">
        <is>
          <t>芽苗菜</t>
        </is>
      </c>
      <c r="E6" s="2" t="inlineStr">
        <is>
          <t>INERT_SUBSTRATE</t>
        </is>
      </c>
      <c r="F6" s="2" t="inlineStr">
        <is>
          <t>direct</t>
        </is>
      </c>
      <c r="G6" s="2" t="n">
        <v>68</v>
      </c>
      <c r="H6" s="2" t="n">
        <v>2.5</v>
      </c>
      <c r="I6" s="2" t="n">
        <v>2</v>
      </c>
      <c r="J6" s="2" t="n">
        <v>5.3</v>
      </c>
      <c r="K6" s="2" t="inlineStr">
        <is>
          <t>fertigation</t>
        </is>
      </c>
      <c r="L6" s="2" t="n">
        <v>0.85</v>
      </c>
      <c r="M6" s="2" t="n">
        <v>14.5</v>
      </c>
      <c r="N6" s="2" t="n">
        <v>1.25</v>
      </c>
      <c r="O6" s="2" t="n">
        <v>5.4</v>
      </c>
      <c r="P6" s="2" t="n">
        <v>4.25</v>
      </c>
      <c r="Q6" s="2" t="n">
        <v>2.75</v>
      </c>
      <c r="R6" s="2" t="n">
        <v>2.25</v>
      </c>
      <c r="S6" s="2" t="n">
        <v>0</v>
      </c>
      <c r="T6" s="2" t="n">
        <v>35</v>
      </c>
      <c r="U6" s="2" t="n">
        <v>10</v>
      </c>
      <c r="V6" s="2" t="n">
        <v>5</v>
      </c>
      <c r="W6" s="2" t="n">
        <v>35</v>
      </c>
      <c r="X6" s="2" t="n">
        <v>1</v>
      </c>
      <c r="Y6" s="2" t="n">
        <v>1</v>
      </c>
      <c r="Z6" s="2" t="n">
        <v>4</v>
      </c>
    </row>
  </sheetData>
  <conditionalFormatting sqref="I2:I6">
    <cfRule type="colorScale" priority="1">
      <colorScale>
        <cfvo type="min"/>
        <cfvo type="max"/>
        <color rgb="00FFFFFF"/>
        <color rgb="001E4D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category</t>
        </is>
      </c>
      <c r="B1" s="1" t="inlineStr">
        <is>
          <t>crop_id</t>
        </is>
      </c>
      <c r="C1" s="1" t="inlineStr">
        <is>
          <t>crop_en</t>
        </is>
      </c>
      <c r="D1" s="1" t="inlineStr">
        <is>
          <t>crop_zh</t>
        </is>
      </c>
      <c r="E1" s="1" t="inlineStr">
        <is>
          <t>substrate_type</t>
        </is>
      </c>
      <c r="F1" s="1" t="inlineStr">
        <is>
          <t>extract_method</t>
        </is>
      </c>
      <c r="G1" s="1" t="inlineStr">
        <is>
          <t>source_page</t>
        </is>
      </c>
      <c r="H1" s="1" t="inlineStr">
        <is>
          <t>ec_root_zone</t>
        </is>
      </c>
      <c r="I1" s="1" t="inlineStr">
        <is>
          <t>ec_fertigation</t>
        </is>
      </c>
      <c r="J1" s="1" t="inlineStr">
        <is>
          <t>ph_fertigation</t>
        </is>
      </c>
      <c r="K1" s="1" t="inlineStr">
        <is>
          <t>growth_stage</t>
        </is>
      </c>
      <c r="L1" s="1" t="inlineStr">
        <is>
          <t>NH4_mmol_l</t>
        </is>
      </c>
      <c r="M1" s="1" t="inlineStr">
        <is>
          <t>NO3_mmol_l</t>
        </is>
      </c>
      <c r="N1" s="1" t="inlineStr">
        <is>
          <t>P_mmol_l</t>
        </is>
      </c>
      <c r="O1" s="1" t="inlineStr">
        <is>
          <t>K_mmol_l</t>
        </is>
      </c>
      <c r="P1" s="1" t="inlineStr">
        <is>
          <t>Ca_mmol_l</t>
        </is>
      </c>
      <c r="Q1" s="1" t="inlineStr">
        <is>
          <t>Mg_mmol_l</t>
        </is>
      </c>
      <c r="R1" s="1" t="inlineStr">
        <is>
          <t>S_mmol_l</t>
        </is>
      </c>
      <c r="S1" s="1" t="inlineStr">
        <is>
          <t>Cl_mmol_l</t>
        </is>
      </c>
      <c r="T1" s="1" t="inlineStr">
        <is>
          <t>Fe_umol_l</t>
        </is>
      </c>
      <c r="U1" s="1" t="inlineStr">
        <is>
          <t>Mn_umol_l</t>
        </is>
      </c>
      <c r="V1" s="1" t="inlineStr">
        <is>
          <t>Zn_umol_l</t>
        </is>
      </c>
      <c r="W1" s="1" t="inlineStr">
        <is>
          <t>B_umol_l</t>
        </is>
      </c>
      <c r="X1" s="1" t="inlineStr">
        <is>
          <t>Cu_umol_l</t>
        </is>
      </c>
      <c r="Y1" s="1" t="inlineStr">
        <is>
          <t>Mo_umol_l</t>
        </is>
      </c>
      <c r="Z1" s="1" t="inlineStr">
        <is>
          <t>Na_max_mmol_l</t>
        </is>
      </c>
    </row>
    <row r="2">
      <c r="A2" s="2" t="inlineStr">
        <is>
          <t>cut_flowers</t>
        </is>
      </c>
      <c r="B2" s="2" t="inlineStr">
        <is>
          <t>alstroemeria</t>
        </is>
      </c>
      <c r="C2" s="2" t="inlineStr">
        <is>
          <t>Alstroemeria</t>
        </is>
      </c>
      <c r="D2" s="2" t="inlineStr">
        <is>
          <t>六出花</t>
        </is>
      </c>
      <c r="E2" s="2" t="inlineStr">
        <is>
          <t>INERT_SUBSTRATE</t>
        </is>
      </c>
      <c r="F2" s="2" t="inlineStr">
        <is>
          <t>direct</t>
        </is>
      </c>
      <c r="G2" s="2" t="n">
        <v>70</v>
      </c>
      <c r="H2" s="2" t="n">
        <v>2.8</v>
      </c>
      <c r="I2" s="2" t="n">
        <v>3</v>
      </c>
      <c r="J2" s="2" t="n">
        <v>5.3</v>
      </c>
      <c r="K2" s="2" t="inlineStr">
        <is>
          <t>fertigation</t>
        </is>
      </c>
      <c r="L2" s="2" t="n">
        <v>1.5</v>
      </c>
      <c r="M2" s="2" t="n">
        <v>20.75</v>
      </c>
      <c r="N2" s="2" t="n">
        <v>1.75</v>
      </c>
      <c r="O2" s="2" t="n">
        <v>10</v>
      </c>
      <c r="P2" s="2" t="n">
        <v>7.5</v>
      </c>
      <c r="Q2" s="2" t="n">
        <v>2</v>
      </c>
      <c r="R2" s="2" t="n">
        <v>4</v>
      </c>
      <c r="S2" s="2" t="n">
        <v>0</v>
      </c>
      <c r="T2" s="2" t="n">
        <v>50</v>
      </c>
      <c r="U2" s="2" t="n">
        <v>7</v>
      </c>
      <c r="V2" s="2" t="n">
        <v>3</v>
      </c>
      <c r="W2" s="2" t="n">
        <v>30</v>
      </c>
      <c r="X2" s="2" t="n">
        <v>1</v>
      </c>
      <c r="Y2" s="2" t="n">
        <v>0.7</v>
      </c>
      <c r="Z2" s="2" t="n">
        <v>2.5</v>
      </c>
    </row>
    <row r="3">
      <c r="A3" s="3" t="inlineStr">
        <is>
          <t>cut_flowers</t>
        </is>
      </c>
      <c r="B3" s="3" t="inlineStr">
        <is>
          <t>alstroemeria</t>
        </is>
      </c>
      <c r="C3" s="3" t="inlineStr">
        <is>
          <t>Alstroemeria</t>
        </is>
      </c>
      <c r="D3" s="3" t="inlineStr">
        <is>
          <t>六出花</t>
        </is>
      </c>
      <c r="E3" s="3" t="inlineStr">
        <is>
          <t>INERT_SUBSTRATE</t>
        </is>
      </c>
      <c r="F3" s="3" t="inlineStr">
        <is>
          <t>direct</t>
        </is>
      </c>
      <c r="G3" s="3" t="n">
        <v>70</v>
      </c>
      <c r="H3" s="3" t="n">
        <v>2.8</v>
      </c>
      <c r="I3" s="3" t="n">
        <v>3</v>
      </c>
      <c r="J3" s="3" t="n">
        <v>5.3</v>
      </c>
      <c r="K3" s="3" t="inlineStr">
        <is>
          <t>start</t>
        </is>
      </c>
      <c r="L3" s="3" t="n">
        <v>1</v>
      </c>
      <c r="M3" s="3" t="n">
        <v>20.75</v>
      </c>
      <c r="N3" s="3" t="n">
        <v>1.75</v>
      </c>
      <c r="O3" s="3" t="n">
        <v>9</v>
      </c>
      <c r="P3" s="3" t="n">
        <v>8</v>
      </c>
      <c r="Q3" s="3" t="n">
        <v>2.25</v>
      </c>
      <c r="R3" s="3" t="n">
        <v>4</v>
      </c>
      <c r="S3" s="3" t="n">
        <v>0</v>
      </c>
      <c r="T3" s="3" t="n">
        <v>60.03</v>
      </c>
      <c r="U3" s="3" t="n">
        <v>7</v>
      </c>
      <c r="V3" s="3" t="n">
        <v>3</v>
      </c>
      <c r="W3" s="3" t="n">
        <v>39.99</v>
      </c>
      <c r="X3" s="3" t="n">
        <v>1</v>
      </c>
      <c r="Y3" s="3" t="n">
        <v>0.7</v>
      </c>
      <c r="Z3" s="3" t="n">
        <v>2.5</v>
      </c>
    </row>
    <row r="4">
      <c r="A4" s="2" t="inlineStr">
        <is>
          <t>cut_flowers</t>
        </is>
      </c>
      <c r="B4" s="2" t="inlineStr">
        <is>
          <t>alstroemeria</t>
        </is>
      </c>
      <c r="C4" s="2" t="inlineStr">
        <is>
          <t>Alstroemeria</t>
        </is>
      </c>
      <c r="D4" s="2" t="inlineStr">
        <is>
          <t>六出花</t>
        </is>
      </c>
      <c r="E4" s="2" t="inlineStr">
        <is>
          <t>ORGANIC_MATERIAL</t>
        </is>
      </c>
      <c r="F4" s="2" t="inlineStr">
        <is>
          <t>1:1.5_volume</t>
        </is>
      </c>
      <c r="G4" s="2" t="n">
        <v>71</v>
      </c>
      <c r="H4" s="2" t="n">
        <v>1</v>
      </c>
      <c r="I4" s="2" t="n">
        <v>3</v>
      </c>
      <c r="J4" s="2" t="n">
        <v>5.3</v>
      </c>
      <c r="K4" s="2" t="inlineStr">
        <is>
          <t>fertigation</t>
        </is>
      </c>
      <c r="L4" s="2" t="n">
        <v>1.5</v>
      </c>
      <c r="M4" s="2" t="n">
        <v>20.75</v>
      </c>
      <c r="N4" s="2" t="n">
        <v>1.75</v>
      </c>
      <c r="O4" s="2" t="n">
        <v>10</v>
      </c>
      <c r="P4" s="2" t="n">
        <v>7.5</v>
      </c>
      <c r="Q4" s="2" t="n">
        <v>2</v>
      </c>
      <c r="R4" s="2" t="n">
        <v>4</v>
      </c>
      <c r="S4" s="2" t="n">
        <v>0</v>
      </c>
      <c r="T4" s="2" t="n">
        <v>50</v>
      </c>
      <c r="U4" s="2" t="n">
        <v>7</v>
      </c>
      <c r="V4" s="2" t="n">
        <v>3</v>
      </c>
      <c r="W4" s="2" t="n">
        <v>30</v>
      </c>
      <c r="X4" s="2" t="n">
        <v>1</v>
      </c>
      <c r="Y4" s="2" t="n">
        <v>0.7</v>
      </c>
      <c r="Z4" s="2" t="n">
        <v>2</v>
      </c>
    </row>
    <row r="5">
      <c r="A5" s="3" t="inlineStr">
        <is>
          <t>cut_flowers</t>
        </is>
      </c>
      <c r="B5" s="3" t="inlineStr">
        <is>
          <t>alstroemeria</t>
        </is>
      </c>
      <c r="C5" s="3" t="inlineStr">
        <is>
          <t>Alstroemeria</t>
        </is>
      </c>
      <c r="D5" s="3" t="inlineStr">
        <is>
          <t>六出花</t>
        </is>
      </c>
      <c r="E5" s="3" t="inlineStr">
        <is>
          <t>ORGANIC_MATERIAL</t>
        </is>
      </c>
      <c r="F5" s="3" t="inlineStr">
        <is>
          <t>1:1.5_volume</t>
        </is>
      </c>
      <c r="G5" s="3" t="n">
        <v>71</v>
      </c>
      <c r="H5" s="3" t="n">
        <v>1</v>
      </c>
      <c r="I5" s="3" t="n">
        <v>3</v>
      </c>
      <c r="J5" s="3" t="n">
        <v>5.3</v>
      </c>
      <c r="K5" s="3" t="inlineStr">
        <is>
          <t>start</t>
        </is>
      </c>
      <c r="L5" s="3" t="n">
        <v>1</v>
      </c>
      <c r="M5" s="3" t="n">
        <v>20.75</v>
      </c>
      <c r="N5" s="3" t="n">
        <v>1.75</v>
      </c>
      <c r="O5" s="3" t="n">
        <v>9</v>
      </c>
      <c r="P5" s="3" t="n">
        <v>8</v>
      </c>
      <c r="Q5" s="3" t="n">
        <v>2.25</v>
      </c>
      <c r="R5" s="3" t="n">
        <v>4</v>
      </c>
      <c r="S5" s="3" t="n">
        <v>0</v>
      </c>
      <c r="T5" s="3" t="n">
        <v>60.03</v>
      </c>
      <c r="U5" s="3" t="n">
        <v>7</v>
      </c>
      <c r="V5" s="3" t="n">
        <v>3</v>
      </c>
      <c r="W5" s="3" t="n">
        <v>39.99</v>
      </c>
      <c r="X5" s="3" t="n">
        <v>1</v>
      </c>
      <c r="Y5" s="3" t="n">
        <v>0.7</v>
      </c>
      <c r="Z5" s="3" t="n">
        <v>2</v>
      </c>
    </row>
    <row r="6">
      <c r="A6" s="2" t="inlineStr">
        <is>
          <t>cut_flowers</t>
        </is>
      </c>
      <c r="B6" s="2" t="inlineStr">
        <is>
          <t>alstroemeria</t>
        </is>
      </c>
      <c r="C6" s="2" t="inlineStr">
        <is>
          <t>Alstroemeria</t>
        </is>
      </c>
      <c r="D6" s="2" t="inlineStr">
        <is>
          <t>六出花</t>
        </is>
      </c>
      <c r="E6" s="2" t="inlineStr">
        <is>
          <t>SOIL</t>
        </is>
      </c>
      <c r="F6" s="2" t="inlineStr">
        <is>
          <t>1:2_volume</t>
        </is>
      </c>
      <c r="G6" s="2" t="n">
        <v>72</v>
      </c>
      <c r="H6" s="2" t="n">
        <v>1</v>
      </c>
      <c r="I6" s="2" t="n">
        <v>1</v>
      </c>
      <c r="J6" s="2" t="n">
        <v>5.3</v>
      </c>
      <c r="K6" s="2" t="inlineStr">
        <is>
          <t>fertigation</t>
        </is>
      </c>
      <c r="L6" s="2" t="n">
        <v>0.9</v>
      </c>
      <c r="M6" s="2" t="n">
        <v>8</v>
      </c>
      <c r="N6" s="2" t="n">
        <v>0.5</v>
      </c>
      <c r="O6" s="2" t="n">
        <v>4</v>
      </c>
      <c r="P6" s="2" t="n">
        <v>2</v>
      </c>
      <c r="Q6" s="2" t="n">
        <v>1</v>
      </c>
      <c r="R6" s="2" t="n">
        <v>1.2</v>
      </c>
      <c r="S6" s="2" t="n">
        <v>0</v>
      </c>
      <c r="T6" s="2" t="n">
        <v>5</v>
      </c>
      <c r="U6" s="2" t="n">
        <v>2</v>
      </c>
      <c r="V6" s="2" t="n">
        <v>1</v>
      </c>
      <c r="W6" s="2" t="n">
        <v>10</v>
      </c>
      <c r="X6" s="2" t="n">
        <v>0.3</v>
      </c>
      <c r="Y6" s="2" t="n">
        <v>0</v>
      </c>
      <c r="Z6" s="2" t="n">
        <v>3</v>
      </c>
    </row>
    <row r="7">
      <c r="A7" s="3" t="inlineStr">
        <is>
          <t>cut_flowers</t>
        </is>
      </c>
      <c r="B7" s="3" t="inlineStr">
        <is>
          <t>carnation</t>
        </is>
      </c>
      <c r="C7" s="3" t="inlineStr">
        <is>
          <t>Carnation</t>
        </is>
      </c>
      <c r="D7" s="3" t="inlineStr">
        <is>
          <t>康乃馨</t>
        </is>
      </c>
      <c r="E7" s="3" t="inlineStr">
        <is>
          <t>ORGANIC_MATERIAL</t>
        </is>
      </c>
      <c r="F7" s="3" t="inlineStr">
        <is>
          <t>1:1.5_volume</t>
        </is>
      </c>
      <c r="G7" s="3" t="n">
        <v>76</v>
      </c>
      <c r="H7" s="3" t="n">
        <v>1.3</v>
      </c>
      <c r="I7" s="3" t="n">
        <v>1.8</v>
      </c>
      <c r="J7" s="3" t="n">
        <v>5.3</v>
      </c>
      <c r="K7" s="3" t="inlineStr">
        <is>
          <t>fertigation</t>
        </is>
      </c>
      <c r="L7" s="3" t="n">
        <v>1</v>
      </c>
      <c r="M7" s="3" t="n">
        <v>13</v>
      </c>
      <c r="N7" s="3" t="n">
        <v>1.25</v>
      </c>
      <c r="O7" s="3" t="n">
        <v>6.25</v>
      </c>
      <c r="P7" s="3" t="n">
        <v>3.75</v>
      </c>
      <c r="Q7" s="3" t="n">
        <v>1</v>
      </c>
      <c r="R7" s="3" t="n">
        <v>1.25</v>
      </c>
      <c r="S7" s="3" t="n">
        <v>0</v>
      </c>
      <c r="T7" s="3" t="n">
        <v>25</v>
      </c>
      <c r="U7" s="3" t="n">
        <v>10</v>
      </c>
      <c r="V7" s="3" t="n">
        <v>4</v>
      </c>
      <c r="W7" s="3" t="n">
        <v>30</v>
      </c>
      <c r="X7" s="3" t="n">
        <v>0.75</v>
      </c>
      <c r="Y7" s="3" t="n">
        <v>0.5</v>
      </c>
      <c r="Z7" s="3" t="n">
        <v>1.7</v>
      </c>
    </row>
    <row r="8">
      <c r="A8" s="2" t="inlineStr">
        <is>
          <t>cut_flowers</t>
        </is>
      </c>
      <c r="B8" s="2" t="inlineStr">
        <is>
          <t>carnation</t>
        </is>
      </c>
      <c r="C8" s="2" t="inlineStr">
        <is>
          <t>Carnation</t>
        </is>
      </c>
      <c r="D8" s="2" t="inlineStr">
        <is>
          <t>康乃馨</t>
        </is>
      </c>
      <c r="E8" s="2" t="inlineStr">
        <is>
          <t>SOIL</t>
        </is>
      </c>
      <c r="F8" s="2" t="inlineStr">
        <is>
          <t>1:2_volume</t>
        </is>
      </c>
      <c r="G8" s="2" t="n">
        <v>77</v>
      </c>
      <c r="H8" s="2" t="n">
        <v>2.2</v>
      </c>
      <c r="I8" s="2" t="n">
        <v>1.2</v>
      </c>
      <c r="J8" s="2" t="n">
        <v>5.3</v>
      </c>
      <c r="K8" s="2" t="inlineStr">
        <is>
          <t>fertigation</t>
        </is>
      </c>
      <c r="L8" s="2" t="n">
        <v>0.9</v>
      </c>
      <c r="M8" s="2" t="n">
        <v>8.4</v>
      </c>
      <c r="N8" s="2" t="n">
        <v>0.5</v>
      </c>
      <c r="O8" s="2" t="n">
        <v>4</v>
      </c>
      <c r="P8" s="2" t="n">
        <v>2</v>
      </c>
      <c r="Q8" s="2" t="n">
        <v>1</v>
      </c>
      <c r="R8" s="2" t="n">
        <v>1</v>
      </c>
      <c r="S8" s="2" t="n">
        <v>0</v>
      </c>
      <c r="T8" s="2" t="n">
        <v>5</v>
      </c>
      <c r="U8" s="2" t="n">
        <v>2</v>
      </c>
      <c r="V8" s="2" t="n">
        <v>2</v>
      </c>
      <c r="W8" s="2" t="n">
        <v>10</v>
      </c>
      <c r="X8" s="2" t="n">
        <v>0.3</v>
      </c>
      <c r="Y8" s="2" t="n">
        <v>0</v>
      </c>
      <c r="Z8" s="2" t="n">
        <v>3</v>
      </c>
    </row>
    <row r="9">
      <c r="A9" s="3" t="inlineStr">
        <is>
          <t>cut_flowers</t>
        </is>
      </c>
      <c r="B9" s="3" t="inlineStr">
        <is>
          <t>chrysanthemum</t>
        </is>
      </c>
      <c r="C9" s="3" t="inlineStr">
        <is>
          <t>Chrysanthemum</t>
        </is>
      </c>
      <c r="D9" s="3" t="inlineStr">
        <is>
          <t>菊花</t>
        </is>
      </c>
      <c r="E9" s="3" t="inlineStr">
        <is>
          <t>SOIL</t>
        </is>
      </c>
      <c r="F9" s="3" t="inlineStr">
        <is>
          <t>1:2_volume</t>
        </is>
      </c>
      <c r="G9" s="3" t="n">
        <v>78</v>
      </c>
      <c r="H9" s="3" t="n">
        <v>0.8</v>
      </c>
      <c r="I9" s="3" t="n">
        <v>1.2</v>
      </c>
      <c r="J9" s="3" t="n">
        <v>5.3</v>
      </c>
      <c r="K9" s="3" t="inlineStr">
        <is>
          <t>fertigation</t>
        </is>
      </c>
      <c r="L9" s="3" t="n">
        <v>0.4</v>
      </c>
      <c r="M9" s="3" t="n">
        <v>7.9</v>
      </c>
      <c r="N9" s="3" t="n">
        <v>0.5</v>
      </c>
      <c r="O9" s="3" t="n">
        <v>4</v>
      </c>
      <c r="P9" s="3" t="n">
        <v>2</v>
      </c>
      <c r="Q9" s="3" t="n">
        <v>1</v>
      </c>
      <c r="R9" s="3" t="n">
        <v>1</v>
      </c>
      <c r="S9" s="3" t="n">
        <v>0</v>
      </c>
      <c r="T9" s="3" t="n">
        <v>5</v>
      </c>
      <c r="U9" s="3" t="n">
        <v>2</v>
      </c>
      <c r="V9" s="3" t="n">
        <v>1</v>
      </c>
      <c r="W9" s="3" t="n">
        <v>10</v>
      </c>
      <c r="X9" s="3" t="n">
        <v>0.3</v>
      </c>
      <c r="Y9" s="3" t="n">
        <v>0</v>
      </c>
      <c r="Z9" s="3" t="n">
        <v>2</v>
      </c>
    </row>
    <row r="10">
      <c r="A10" s="2" t="inlineStr">
        <is>
          <t>cut_flowers</t>
        </is>
      </c>
      <c r="B10" s="2" t="inlineStr">
        <is>
          <t>chrysanthemum</t>
        </is>
      </c>
      <c r="C10" s="2" t="inlineStr">
        <is>
          <t>Chrysanthemum</t>
        </is>
      </c>
      <c r="D10" s="2" t="inlineStr">
        <is>
          <t>菊花</t>
        </is>
      </c>
      <c r="E10" s="2" t="inlineStr">
        <is>
          <t>SOIL</t>
        </is>
      </c>
      <c r="F10" s="2" t="inlineStr">
        <is>
          <t>1:2_volume</t>
        </is>
      </c>
      <c r="G10" s="2" t="n">
        <v>78</v>
      </c>
      <c r="H10" s="2" t="n">
        <v>0.8</v>
      </c>
      <c r="I10" s="2" t="n">
        <v>1.2</v>
      </c>
      <c r="J10" s="2" t="n">
        <v>5.3</v>
      </c>
      <c r="K10" s="2" t="inlineStr">
        <is>
          <t>start</t>
        </is>
      </c>
      <c r="L10" s="2" t="n">
        <v>0</v>
      </c>
      <c r="M10" s="2" t="n">
        <v>7.9</v>
      </c>
      <c r="N10" s="2" t="n">
        <v>0.5</v>
      </c>
      <c r="O10" s="2" t="n">
        <v>3</v>
      </c>
      <c r="P10" s="2" t="n">
        <v>2.5</v>
      </c>
      <c r="Q10" s="2" t="n">
        <v>1.21</v>
      </c>
      <c r="R10" s="2" t="n">
        <v>1</v>
      </c>
      <c r="S10" s="2" t="n">
        <v>0</v>
      </c>
      <c r="T10" s="2" t="n">
        <v>15.03</v>
      </c>
      <c r="U10" s="2" t="n">
        <v>2</v>
      </c>
      <c r="V10" s="2" t="n">
        <v>1</v>
      </c>
      <c r="W10" s="2" t="n">
        <v>19.99</v>
      </c>
      <c r="X10" s="2" t="n">
        <v>0.3</v>
      </c>
      <c r="Y10" s="2" t="n">
        <v>0</v>
      </c>
      <c r="Z10" s="2" t="n">
        <v>2</v>
      </c>
    </row>
    <row r="11">
      <c r="A11" s="3" t="inlineStr">
        <is>
          <t>cut_flowers</t>
        </is>
      </c>
      <c r="B11" s="3" t="inlineStr">
        <is>
          <t>gerbera</t>
        </is>
      </c>
      <c r="C11" s="3" t="inlineStr">
        <is>
          <t>Gerbera</t>
        </is>
      </c>
      <c r="D11" s="3" t="inlineStr">
        <is>
          <t>非洲菊</t>
        </is>
      </c>
      <c r="E11" s="3" t="inlineStr">
        <is>
          <t>INERT_SUBSTRATE</t>
        </is>
      </c>
      <c r="F11" s="3" t="inlineStr">
        <is>
          <t>direct</t>
        </is>
      </c>
      <c r="G11" s="3" t="n">
        <v>79</v>
      </c>
      <c r="H11" s="3" t="n">
        <v>2</v>
      </c>
      <c r="I11" s="3" t="n">
        <v>1.6</v>
      </c>
      <c r="J11" s="3" t="n">
        <v>5.3</v>
      </c>
      <c r="K11" s="3" t="inlineStr">
        <is>
          <t>fertigation</t>
        </is>
      </c>
      <c r="L11" s="3" t="n">
        <v>1.5</v>
      </c>
      <c r="M11" s="3" t="n">
        <v>10.25</v>
      </c>
      <c r="N11" s="3" t="n">
        <v>1.25</v>
      </c>
      <c r="O11" s="3" t="n">
        <v>5.5</v>
      </c>
      <c r="P11" s="3" t="n">
        <v>3</v>
      </c>
      <c r="Q11" s="3" t="n">
        <v>1</v>
      </c>
      <c r="R11" s="3" t="n">
        <v>1.25</v>
      </c>
      <c r="S11" s="3" t="n">
        <v>1</v>
      </c>
      <c r="T11" s="3" t="n">
        <v>35</v>
      </c>
      <c r="U11" s="3" t="n">
        <v>5</v>
      </c>
      <c r="V11" s="3" t="n">
        <v>4</v>
      </c>
      <c r="W11" s="3" t="n">
        <v>30</v>
      </c>
      <c r="X11" s="3" t="n">
        <v>0.75</v>
      </c>
      <c r="Y11" s="3" t="n">
        <v>0.5</v>
      </c>
      <c r="Z11" s="3" t="n">
        <v>6</v>
      </c>
    </row>
    <row r="12">
      <c r="A12" s="2" t="inlineStr">
        <is>
          <t>cut_flowers</t>
        </is>
      </c>
      <c r="B12" s="2" t="inlineStr">
        <is>
          <t>gerbera</t>
        </is>
      </c>
      <c r="C12" s="2" t="inlineStr">
        <is>
          <t>Gerbera</t>
        </is>
      </c>
      <c r="D12" s="2" t="inlineStr">
        <is>
          <t>非洲菊</t>
        </is>
      </c>
      <c r="E12" s="2" t="inlineStr">
        <is>
          <t>INERT_SUBSTRATE</t>
        </is>
      </c>
      <c r="F12" s="2" t="inlineStr">
        <is>
          <t>direct</t>
        </is>
      </c>
      <c r="G12" s="2" t="n">
        <v>79</v>
      </c>
      <c r="H12" s="2" t="n">
        <v>2</v>
      </c>
      <c r="I12" s="2" t="n">
        <v>1.6</v>
      </c>
      <c r="J12" s="2" t="n">
        <v>5.3</v>
      </c>
      <c r="K12" s="2" t="inlineStr">
        <is>
          <t>start</t>
        </is>
      </c>
      <c r="L12" s="2" t="n">
        <v>1</v>
      </c>
      <c r="M12" s="2" t="n">
        <v>10.25</v>
      </c>
      <c r="N12" s="2" t="n">
        <v>1.25</v>
      </c>
      <c r="O12" s="2" t="n">
        <v>4.5</v>
      </c>
      <c r="P12" s="2" t="n">
        <v>3.5</v>
      </c>
      <c r="Q12" s="2" t="n">
        <v>1.25</v>
      </c>
      <c r="R12" s="2" t="n">
        <v>1.25</v>
      </c>
      <c r="S12" s="2" t="n">
        <v>1</v>
      </c>
      <c r="T12" s="2" t="n">
        <v>45</v>
      </c>
      <c r="U12" s="2" t="n">
        <v>5</v>
      </c>
      <c r="V12" s="2" t="n">
        <v>4</v>
      </c>
      <c r="W12" s="2" t="n">
        <v>40</v>
      </c>
      <c r="X12" s="2" t="n">
        <v>0.75</v>
      </c>
      <c r="Y12" s="2" t="n">
        <v>0.5</v>
      </c>
      <c r="Z12" s="2" t="n">
        <v>6</v>
      </c>
    </row>
    <row r="13">
      <c r="A13" s="3" t="inlineStr">
        <is>
          <t>cut_flowers</t>
        </is>
      </c>
      <c r="B13" s="3" t="inlineStr">
        <is>
          <t>gerbera</t>
        </is>
      </c>
      <c r="C13" s="3" t="inlineStr">
        <is>
          <t>Gerbera</t>
        </is>
      </c>
      <c r="D13" s="3" t="inlineStr">
        <is>
          <t>非洲菊</t>
        </is>
      </c>
      <c r="E13" s="3" t="inlineStr">
        <is>
          <t>INERT_SUBSTRATE</t>
        </is>
      </c>
      <c r="F13" s="3" t="inlineStr">
        <is>
          <t>direct</t>
        </is>
      </c>
      <c r="G13" s="3" t="n">
        <v>79</v>
      </c>
      <c r="H13" s="3" t="n">
        <v>2</v>
      </c>
      <c r="I13" s="3" t="n">
        <v>1.6</v>
      </c>
      <c r="J13" s="3" t="n">
        <v>5.3</v>
      </c>
      <c r="K13" s="3" t="inlineStr">
        <is>
          <t>flowering</t>
        </is>
      </c>
      <c r="L13" s="3" t="n">
        <v>1.5</v>
      </c>
      <c r="M13" s="3" t="n">
        <v>11.25</v>
      </c>
      <c r="N13" s="3" t="n">
        <v>1.25</v>
      </c>
      <c r="O13" s="3" t="n">
        <v>6.5</v>
      </c>
      <c r="P13" s="3" t="n">
        <v>3</v>
      </c>
      <c r="Q13" s="3" t="n">
        <v>1</v>
      </c>
      <c r="R13" s="3" t="n">
        <v>1.25</v>
      </c>
      <c r="S13" s="3" t="n">
        <v>1</v>
      </c>
      <c r="T13" s="3" t="n">
        <v>35</v>
      </c>
      <c r="U13" s="3" t="n">
        <v>5</v>
      </c>
      <c r="V13" s="3" t="n">
        <v>4</v>
      </c>
      <c r="W13" s="3" t="n">
        <v>30</v>
      </c>
      <c r="X13" s="3" t="n">
        <v>0.75</v>
      </c>
      <c r="Y13" s="3" t="n">
        <v>0.5</v>
      </c>
      <c r="Z13" s="3" t="n">
        <v>6</v>
      </c>
    </row>
    <row r="14">
      <c r="A14" s="2" t="inlineStr">
        <is>
          <t>cut_flowers</t>
        </is>
      </c>
      <c r="B14" s="2" t="inlineStr">
        <is>
          <t>gerbera</t>
        </is>
      </c>
      <c r="C14" s="2" t="inlineStr">
        <is>
          <t>Gerbera</t>
        </is>
      </c>
      <c r="D14" s="2" t="inlineStr">
        <is>
          <t>非洲菊</t>
        </is>
      </c>
      <c r="E14" s="2" t="inlineStr">
        <is>
          <t>ORGANIC_MATERIAL</t>
        </is>
      </c>
      <c r="F14" s="2" t="inlineStr">
        <is>
          <t>1:1.5_volume</t>
        </is>
      </c>
      <c r="G14" s="2" t="n">
        <v>80</v>
      </c>
      <c r="H14" s="2" t="n">
        <v>0.8</v>
      </c>
      <c r="I14" s="2" t="n">
        <v>1.6</v>
      </c>
      <c r="J14" s="2" t="n">
        <v>5.3</v>
      </c>
      <c r="K14" s="2" t="inlineStr">
        <is>
          <t>fertigation</t>
        </is>
      </c>
      <c r="L14" s="2" t="n">
        <v>0.75</v>
      </c>
      <c r="M14" s="2" t="n">
        <v>10</v>
      </c>
      <c r="N14" s="2" t="n">
        <v>1.25</v>
      </c>
      <c r="O14" s="2" t="n">
        <v>5</v>
      </c>
      <c r="P14" s="2" t="n">
        <v>3.25</v>
      </c>
      <c r="Q14" s="2" t="n">
        <v>1.25</v>
      </c>
      <c r="R14" s="2" t="n">
        <v>1.5</v>
      </c>
      <c r="S14" s="2" t="n">
        <v>0.5</v>
      </c>
      <c r="T14" s="2" t="n">
        <v>35</v>
      </c>
      <c r="U14" s="2" t="n">
        <v>5</v>
      </c>
      <c r="V14" s="2" t="n">
        <v>4</v>
      </c>
      <c r="W14" s="2" t="n">
        <v>30</v>
      </c>
      <c r="X14" s="2" t="n">
        <v>0.75</v>
      </c>
      <c r="Y14" s="2" t="n">
        <v>0.5</v>
      </c>
      <c r="Z14" s="2" t="n">
        <v>2</v>
      </c>
    </row>
    <row r="15">
      <c r="A15" s="3" t="inlineStr">
        <is>
          <t>cut_flowers</t>
        </is>
      </c>
      <c r="B15" s="3" t="inlineStr">
        <is>
          <t>gerbera</t>
        </is>
      </c>
      <c r="C15" s="3" t="inlineStr">
        <is>
          <t>Gerbera</t>
        </is>
      </c>
      <c r="D15" s="3" t="inlineStr">
        <is>
          <t>非洲菊</t>
        </is>
      </c>
      <c r="E15" s="3" t="inlineStr">
        <is>
          <t>ORGANIC_MATERIAL</t>
        </is>
      </c>
      <c r="F15" s="3" t="inlineStr">
        <is>
          <t>1:1.5_volume</t>
        </is>
      </c>
      <c r="G15" s="3" t="n">
        <v>80</v>
      </c>
      <c r="H15" s="3" t="n">
        <v>0.8</v>
      </c>
      <c r="I15" s="3" t="n">
        <v>1.6</v>
      </c>
      <c r="J15" s="3" t="n">
        <v>5.3</v>
      </c>
      <c r="K15" s="3" t="inlineStr">
        <is>
          <t>start</t>
        </is>
      </c>
      <c r="L15" s="3" t="n">
        <v>0.25</v>
      </c>
      <c r="M15" s="3" t="n">
        <v>10</v>
      </c>
      <c r="N15" s="3" t="n">
        <v>1.25</v>
      </c>
      <c r="O15" s="3" t="n">
        <v>4</v>
      </c>
      <c r="P15" s="3" t="n">
        <v>3.75</v>
      </c>
      <c r="Q15" s="3" t="n">
        <v>1.5</v>
      </c>
      <c r="R15" s="3" t="n">
        <v>1.5</v>
      </c>
      <c r="S15" s="3" t="n">
        <v>0.5</v>
      </c>
      <c r="T15" s="3" t="n">
        <v>45</v>
      </c>
      <c r="U15" s="3" t="n">
        <v>5</v>
      </c>
      <c r="V15" s="3" t="n">
        <v>4</v>
      </c>
      <c r="W15" s="3" t="n">
        <v>40</v>
      </c>
      <c r="X15" s="3" t="n">
        <v>0.75</v>
      </c>
      <c r="Y15" s="3" t="n">
        <v>0.5</v>
      </c>
      <c r="Z15" s="3" t="n">
        <v>2</v>
      </c>
    </row>
    <row r="16">
      <c r="A16" s="2" t="inlineStr">
        <is>
          <t>cut_flowers</t>
        </is>
      </c>
      <c r="B16" s="2" t="inlineStr">
        <is>
          <t>gerbera</t>
        </is>
      </c>
      <c r="C16" s="2" t="inlineStr">
        <is>
          <t>Gerbera</t>
        </is>
      </c>
      <c r="D16" s="2" t="inlineStr">
        <is>
          <t>非洲菊</t>
        </is>
      </c>
      <c r="E16" s="2" t="inlineStr">
        <is>
          <t>ORGANIC_MATERIAL</t>
        </is>
      </c>
      <c r="F16" s="2" t="inlineStr">
        <is>
          <t>1:1.5_volume</t>
        </is>
      </c>
      <c r="G16" s="2" t="n">
        <v>80</v>
      </c>
      <c r="H16" s="2" t="n">
        <v>0.8</v>
      </c>
      <c r="I16" s="2" t="n">
        <v>1.6</v>
      </c>
      <c r="J16" s="2" t="n">
        <v>5.3</v>
      </c>
      <c r="K16" s="2" t="inlineStr">
        <is>
          <t>flowering</t>
        </is>
      </c>
      <c r="L16" s="2" t="n">
        <v>0.75</v>
      </c>
      <c r="M16" s="2" t="n">
        <v>11</v>
      </c>
      <c r="N16" s="2" t="n">
        <v>1.25</v>
      </c>
      <c r="O16" s="2" t="n">
        <v>6</v>
      </c>
      <c r="P16" s="2" t="n">
        <v>3.25</v>
      </c>
      <c r="Q16" s="2" t="n">
        <v>1.25</v>
      </c>
      <c r="R16" s="2" t="n">
        <v>1.5</v>
      </c>
      <c r="S16" s="2" t="n">
        <v>0.5</v>
      </c>
      <c r="T16" s="2" t="n">
        <v>35</v>
      </c>
      <c r="U16" s="2" t="n">
        <v>5</v>
      </c>
      <c r="V16" s="2" t="n">
        <v>4</v>
      </c>
      <c r="W16" s="2" t="n">
        <v>30</v>
      </c>
      <c r="X16" s="2" t="n">
        <v>0.75</v>
      </c>
      <c r="Y16" s="2" t="n">
        <v>0.5</v>
      </c>
      <c r="Z16" s="2" t="n">
        <v>2</v>
      </c>
    </row>
    <row r="17">
      <c r="A17" s="3" t="inlineStr">
        <is>
          <t>cut_flowers</t>
        </is>
      </c>
      <c r="B17" s="3" t="inlineStr">
        <is>
          <t>gerbera</t>
        </is>
      </c>
      <c r="C17" s="3" t="inlineStr">
        <is>
          <t>Gerbera</t>
        </is>
      </c>
      <c r="D17" s="3" t="inlineStr">
        <is>
          <t>非洲菊</t>
        </is>
      </c>
      <c r="E17" s="3" t="inlineStr">
        <is>
          <t>SOIL</t>
        </is>
      </c>
      <c r="F17" s="3" t="inlineStr">
        <is>
          <t>1:2_volume</t>
        </is>
      </c>
      <c r="G17" s="3" t="n">
        <v>81</v>
      </c>
      <c r="H17" s="3" t="n">
        <v>1</v>
      </c>
      <c r="I17" s="3" t="n">
        <v>1.2</v>
      </c>
      <c r="J17" s="3" t="n">
        <v>5.3</v>
      </c>
      <c r="K17" s="3" t="inlineStr">
        <is>
          <t>fertigation</t>
        </is>
      </c>
      <c r="L17" s="3" t="n">
        <v>0.9</v>
      </c>
      <c r="M17" s="3" t="n">
        <v>7.9</v>
      </c>
      <c r="N17" s="3" t="n">
        <v>0.5</v>
      </c>
      <c r="O17" s="3" t="n">
        <v>3.5</v>
      </c>
      <c r="P17" s="3" t="n">
        <v>2</v>
      </c>
      <c r="Q17" s="3" t="n">
        <v>1.1</v>
      </c>
      <c r="R17" s="3" t="n">
        <v>1.1</v>
      </c>
      <c r="S17" s="3" t="n">
        <v>0</v>
      </c>
      <c r="T17" s="3" t="n">
        <v>5</v>
      </c>
      <c r="U17" s="3" t="n">
        <v>2</v>
      </c>
      <c r="V17" s="3" t="n">
        <v>2</v>
      </c>
      <c r="W17" s="3" t="n">
        <v>10</v>
      </c>
      <c r="X17" s="3" t="n">
        <v>0.3</v>
      </c>
      <c r="Y17" s="3" t="n">
        <v>0</v>
      </c>
      <c r="Z17" s="3" t="n">
        <v>3</v>
      </c>
    </row>
    <row r="18">
      <c r="A18" s="2" t="inlineStr">
        <is>
          <t>cut_flowers</t>
        </is>
      </c>
      <c r="B18" s="2" t="inlineStr">
        <is>
          <t>rose</t>
        </is>
      </c>
      <c r="C18" s="2" t="inlineStr">
        <is>
          <t>Rose</t>
        </is>
      </c>
      <c r="D18" s="2" t="inlineStr">
        <is>
          <t>月季</t>
        </is>
      </c>
      <c r="E18" s="2" t="inlineStr">
        <is>
          <t>INERT_SUBSTRATE</t>
        </is>
      </c>
      <c r="F18" s="2" t="inlineStr">
        <is>
          <t>direct</t>
        </is>
      </c>
      <c r="G18" s="2" t="n">
        <v>82</v>
      </c>
      <c r="H18" s="2" t="n">
        <v>2.2</v>
      </c>
      <c r="I18" s="2" t="n">
        <v>1.6</v>
      </c>
      <c r="J18" s="2" t="n">
        <v>5.3</v>
      </c>
      <c r="K18" s="2" t="inlineStr">
        <is>
          <t>fertigation</t>
        </is>
      </c>
      <c r="L18" s="2" t="n">
        <v>0.7</v>
      </c>
      <c r="M18" s="2" t="n">
        <v>10.75</v>
      </c>
      <c r="N18" s="2" t="n">
        <v>1.25</v>
      </c>
      <c r="O18" s="2" t="n">
        <v>4.5</v>
      </c>
      <c r="P18" s="2" t="n">
        <v>3.4</v>
      </c>
      <c r="Q18" s="2" t="n">
        <v>1.6</v>
      </c>
      <c r="R18" s="2" t="n">
        <v>1.6</v>
      </c>
      <c r="S18" s="2" t="n">
        <v>0</v>
      </c>
      <c r="T18" s="2" t="n">
        <v>35</v>
      </c>
      <c r="U18" s="2" t="n">
        <v>7</v>
      </c>
      <c r="V18" s="2" t="n">
        <v>3.5</v>
      </c>
      <c r="W18" s="2" t="n">
        <v>35</v>
      </c>
      <c r="X18" s="2" t="n">
        <v>1.1</v>
      </c>
      <c r="Y18" s="2" t="n">
        <v>1</v>
      </c>
      <c r="Z18" s="2" t="n">
        <v>6</v>
      </c>
    </row>
    <row r="19">
      <c r="A19" s="3" t="inlineStr">
        <is>
          <t>cut_flowers</t>
        </is>
      </c>
      <c r="B19" s="3" t="inlineStr">
        <is>
          <t>rose</t>
        </is>
      </c>
      <c r="C19" s="3" t="inlineStr">
        <is>
          <t>Rose</t>
        </is>
      </c>
      <c r="D19" s="3" t="inlineStr">
        <is>
          <t>月季</t>
        </is>
      </c>
      <c r="E19" s="3" t="inlineStr">
        <is>
          <t>INERT_SUBSTRATE</t>
        </is>
      </c>
      <c r="F19" s="3" t="inlineStr">
        <is>
          <t>direct</t>
        </is>
      </c>
      <c r="G19" s="3" t="n">
        <v>82</v>
      </c>
      <c r="H19" s="3" t="n">
        <v>2.2</v>
      </c>
      <c r="I19" s="3" t="n">
        <v>1.6</v>
      </c>
      <c r="J19" s="3" t="n">
        <v>5.3</v>
      </c>
      <c r="K19" s="3" t="inlineStr">
        <is>
          <t>start</t>
        </is>
      </c>
      <c r="L19" s="3" t="n">
        <v>0.7</v>
      </c>
      <c r="M19" s="3" t="n">
        <v>10.75</v>
      </c>
      <c r="N19" s="3" t="n">
        <v>1.25</v>
      </c>
      <c r="O19" s="3" t="n">
        <v>3.5</v>
      </c>
      <c r="P19" s="3" t="n">
        <v>3.9</v>
      </c>
      <c r="Q19" s="3" t="n">
        <v>1.6</v>
      </c>
      <c r="R19" s="3" t="n">
        <v>1.6</v>
      </c>
      <c r="S19" s="3" t="n">
        <v>0</v>
      </c>
      <c r="T19" s="3" t="n">
        <v>45</v>
      </c>
      <c r="U19" s="3" t="n">
        <v>7</v>
      </c>
      <c r="V19" s="3" t="n">
        <v>3.5</v>
      </c>
      <c r="W19" s="3" t="n">
        <v>45</v>
      </c>
      <c r="X19" s="3" t="n">
        <v>1.1</v>
      </c>
      <c r="Y19" s="3" t="n">
        <v>1</v>
      </c>
      <c r="Z19" s="3" t="n">
        <v>6</v>
      </c>
    </row>
    <row r="20">
      <c r="A20" s="2" t="inlineStr">
        <is>
          <t>cut_flowers</t>
        </is>
      </c>
      <c r="B20" s="2" t="inlineStr">
        <is>
          <t>rose</t>
        </is>
      </c>
      <c r="C20" s="2" t="inlineStr">
        <is>
          <t>Rose</t>
        </is>
      </c>
      <c r="D20" s="2" t="inlineStr">
        <is>
          <t>月季</t>
        </is>
      </c>
      <c r="E20" s="2" t="inlineStr">
        <is>
          <t>INERT_SUBSTRATE</t>
        </is>
      </c>
      <c r="F20" s="2" t="inlineStr">
        <is>
          <t>direct</t>
        </is>
      </c>
      <c r="G20" s="2" t="n">
        <v>82</v>
      </c>
      <c r="H20" s="2" t="n">
        <v>2.2</v>
      </c>
      <c r="I20" s="2" t="n">
        <v>1.6</v>
      </c>
      <c r="J20" s="2" t="n">
        <v>5.3</v>
      </c>
      <c r="K20" s="2" t="inlineStr">
        <is>
          <t>flowering</t>
        </is>
      </c>
      <c r="L20" s="2" t="n">
        <v>0.7</v>
      </c>
      <c r="M20" s="2" t="n">
        <v>11.75</v>
      </c>
      <c r="N20" s="2" t="n">
        <v>1.25</v>
      </c>
      <c r="O20" s="2" t="n">
        <v>5.5</v>
      </c>
      <c r="P20" s="2" t="n">
        <v>3.4</v>
      </c>
      <c r="Q20" s="2" t="n">
        <v>1.6</v>
      </c>
      <c r="R20" s="2" t="n">
        <v>1.6</v>
      </c>
      <c r="S20" s="2" t="n">
        <v>0</v>
      </c>
      <c r="T20" s="2" t="n">
        <v>35</v>
      </c>
      <c r="U20" s="2" t="n">
        <v>7</v>
      </c>
      <c r="V20" s="2" t="n">
        <v>3.5</v>
      </c>
      <c r="W20" s="2" t="n">
        <v>35</v>
      </c>
      <c r="X20" s="2" t="n">
        <v>1.1</v>
      </c>
      <c r="Y20" s="2" t="n">
        <v>1</v>
      </c>
      <c r="Z20" s="2" t="n">
        <v>6</v>
      </c>
    </row>
    <row r="21">
      <c r="A21" s="3" t="inlineStr">
        <is>
          <t>cut_flowers</t>
        </is>
      </c>
      <c r="B21" s="3" t="inlineStr">
        <is>
          <t>rose</t>
        </is>
      </c>
      <c r="C21" s="3" t="inlineStr">
        <is>
          <t>Rose</t>
        </is>
      </c>
      <c r="D21" s="3" t="inlineStr">
        <is>
          <t>月季</t>
        </is>
      </c>
      <c r="E21" s="3" t="inlineStr">
        <is>
          <t>INERT_SUBSTRATE</t>
        </is>
      </c>
      <c r="F21" s="3" t="inlineStr">
        <is>
          <t>direct</t>
        </is>
      </c>
      <c r="G21" s="3" t="n">
        <v>82</v>
      </c>
      <c r="H21" s="3" t="n">
        <v>2.2</v>
      </c>
      <c r="I21" s="3" t="n">
        <v>1.6</v>
      </c>
      <c r="J21" s="3" t="n">
        <v>5.3</v>
      </c>
      <c r="K21" s="3" t="inlineStr">
        <is>
          <t>winter</t>
        </is>
      </c>
      <c r="L21" s="3" t="n">
        <v>0.2</v>
      </c>
      <c r="M21" s="3" t="n">
        <v>10.25</v>
      </c>
      <c r="N21" s="3" t="n">
        <v>1.25</v>
      </c>
      <c r="O21" s="3" t="n">
        <v>4.5</v>
      </c>
      <c r="P21" s="3" t="n">
        <v>3.4</v>
      </c>
      <c r="Q21" s="3" t="n">
        <v>1.6</v>
      </c>
      <c r="R21" s="3" t="n">
        <v>1.6</v>
      </c>
      <c r="S21" s="3" t="n">
        <v>0</v>
      </c>
      <c r="T21" s="3" t="n">
        <v>35</v>
      </c>
      <c r="U21" s="3" t="n">
        <v>7</v>
      </c>
      <c r="V21" s="3" t="n">
        <v>3.5</v>
      </c>
      <c r="W21" s="3" t="n">
        <v>35</v>
      </c>
      <c r="X21" s="3" t="n">
        <v>1.1</v>
      </c>
      <c r="Y21" s="3" t="n">
        <v>1</v>
      </c>
      <c r="Z21" s="3" t="n">
        <v>6</v>
      </c>
    </row>
    <row r="22">
      <c r="A22" s="2" t="inlineStr">
        <is>
          <t>cut_flowers</t>
        </is>
      </c>
      <c r="B22" s="2" t="inlineStr">
        <is>
          <t>rose</t>
        </is>
      </c>
      <c r="C22" s="2" t="inlineStr">
        <is>
          <t>Rose</t>
        </is>
      </c>
      <c r="D22" s="2" t="inlineStr">
        <is>
          <t>月季</t>
        </is>
      </c>
      <c r="E22" s="2" t="inlineStr">
        <is>
          <t>ORGANIC_MATERIAL</t>
        </is>
      </c>
      <c r="F22" s="2" t="inlineStr">
        <is>
          <t>1:1.5_volume</t>
        </is>
      </c>
      <c r="G22" s="2" t="n">
        <v>83</v>
      </c>
      <c r="H22" s="2" t="n">
        <v>1</v>
      </c>
      <c r="I22" s="2" t="n">
        <v>1.6</v>
      </c>
      <c r="J22" s="2" t="n">
        <v>5.3</v>
      </c>
      <c r="K22" s="2" t="inlineStr">
        <is>
          <t>fertigation</t>
        </is>
      </c>
      <c r="L22" s="2" t="n">
        <v>0.75</v>
      </c>
      <c r="M22" s="2" t="n">
        <v>11.25</v>
      </c>
      <c r="N22" s="2" t="n">
        <v>1.25</v>
      </c>
      <c r="O22" s="2" t="n">
        <v>4.25</v>
      </c>
      <c r="P22" s="2" t="n">
        <v>3.75</v>
      </c>
      <c r="Q22" s="2" t="n">
        <v>1.75</v>
      </c>
      <c r="R22" s="2" t="n">
        <v>1.75</v>
      </c>
      <c r="S22" s="2" t="n">
        <v>0</v>
      </c>
      <c r="T22" s="2" t="n">
        <v>35</v>
      </c>
      <c r="U22" s="2" t="n">
        <v>7</v>
      </c>
      <c r="V22" s="2" t="n">
        <v>3.5</v>
      </c>
      <c r="W22" s="2" t="n">
        <v>35</v>
      </c>
      <c r="X22" s="2" t="n">
        <v>1.1</v>
      </c>
      <c r="Y22" s="2" t="n">
        <v>1</v>
      </c>
      <c r="Z22" s="2" t="n">
        <v>2</v>
      </c>
    </row>
    <row r="23">
      <c r="A23" s="3" t="inlineStr">
        <is>
          <t>cut_flowers</t>
        </is>
      </c>
      <c r="B23" s="3" t="inlineStr">
        <is>
          <t>rose</t>
        </is>
      </c>
      <c r="C23" s="3" t="inlineStr">
        <is>
          <t>Rose</t>
        </is>
      </c>
      <c r="D23" s="3" t="inlineStr">
        <is>
          <t>月季</t>
        </is>
      </c>
      <c r="E23" s="3" t="inlineStr">
        <is>
          <t>ORGANIC_MATERIAL</t>
        </is>
      </c>
      <c r="F23" s="3" t="inlineStr">
        <is>
          <t>1:1.5_volume</t>
        </is>
      </c>
      <c r="G23" s="3" t="n">
        <v>83</v>
      </c>
      <c r="H23" s="3" t="n">
        <v>1</v>
      </c>
      <c r="I23" s="3" t="n">
        <v>1.6</v>
      </c>
      <c r="J23" s="3" t="n">
        <v>5.3</v>
      </c>
      <c r="K23" s="3" t="inlineStr">
        <is>
          <t>start</t>
        </is>
      </c>
      <c r="L23" s="3" t="n">
        <v>0.75</v>
      </c>
      <c r="M23" s="3" t="n">
        <v>11.25</v>
      </c>
      <c r="N23" s="3" t="n">
        <v>1.25</v>
      </c>
      <c r="O23" s="3" t="n">
        <v>3.25</v>
      </c>
      <c r="P23" s="3" t="n">
        <v>4.25</v>
      </c>
      <c r="Q23" s="3" t="n">
        <v>1.75</v>
      </c>
      <c r="R23" s="3" t="n">
        <v>1.75</v>
      </c>
      <c r="S23" s="3" t="n">
        <v>0</v>
      </c>
      <c r="T23" s="3" t="n">
        <v>45</v>
      </c>
      <c r="U23" s="3" t="n">
        <v>7</v>
      </c>
      <c r="V23" s="3" t="n">
        <v>3.5</v>
      </c>
      <c r="W23" s="3" t="n">
        <v>45</v>
      </c>
      <c r="X23" s="3" t="n">
        <v>1.1</v>
      </c>
      <c r="Y23" s="3" t="n">
        <v>1</v>
      </c>
      <c r="Z23" s="3" t="n">
        <v>2</v>
      </c>
    </row>
    <row r="24">
      <c r="A24" s="2" t="inlineStr">
        <is>
          <t>cut_flowers</t>
        </is>
      </c>
      <c r="B24" s="2" t="inlineStr">
        <is>
          <t>rose</t>
        </is>
      </c>
      <c r="C24" s="2" t="inlineStr">
        <is>
          <t>Rose</t>
        </is>
      </c>
      <c r="D24" s="2" t="inlineStr">
        <is>
          <t>月季</t>
        </is>
      </c>
      <c r="E24" s="2" t="inlineStr">
        <is>
          <t>ORGANIC_MATERIAL</t>
        </is>
      </c>
      <c r="F24" s="2" t="inlineStr">
        <is>
          <t>1:1.5_volume</t>
        </is>
      </c>
      <c r="G24" s="2" t="n">
        <v>83</v>
      </c>
      <c r="H24" s="2" t="n">
        <v>1</v>
      </c>
      <c r="I24" s="2" t="n">
        <v>1.6</v>
      </c>
      <c r="J24" s="2" t="n">
        <v>5.3</v>
      </c>
      <c r="K24" s="2" t="inlineStr">
        <is>
          <t>flowering</t>
        </is>
      </c>
      <c r="L24" s="2" t="n">
        <v>0.75</v>
      </c>
      <c r="M24" s="2" t="n">
        <v>12.25</v>
      </c>
      <c r="N24" s="2" t="n">
        <v>1.25</v>
      </c>
      <c r="O24" s="2" t="n">
        <v>5.25</v>
      </c>
      <c r="P24" s="2" t="n">
        <v>3.75</v>
      </c>
      <c r="Q24" s="2" t="n">
        <v>1.75</v>
      </c>
      <c r="R24" s="2" t="n">
        <v>1.75</v>
      </c>
      <c r="S24" s="2" t="n">
        <v>0</v>
      </c>
      <c r="T24" s="2" t="n">
        <v>35</v>
      </c>
      <c r="U24" s="2" t="n">
        <v>7</v>
      </c>
      <c r="V24" s="2" t="n">
        <v>3.5</v>
      </c>
      <c r="W24" s="2" t="n">
        <v>35</v>
      </c>
      <c r="X24" s="2" t="n">
        <v>1.1</v>
      </c>
      <c r="Y24" s="2" t="n">
        <v>1</v>
      </c>
      <c r="Z24" s="2" t="n">
        <v>2</v>
      </c>
    </row>
    <row r="25">
      <c r="A25" s="3" t="inlineStr">
        <is>
          <t>cut_flowers</t>
        </is>
      </c>
      <c r="B25" s="3" t="inlineStr">
        <is>
          <t>rose</t>
        </is>
      </c>
      <c r="C25" s="3" t="inlineStr">
        <is>
          <t>Rose</t>
        </is>
      </c>
      <c r="D25" s="3" t="inlineStr">
        <is>
          <t>月季</t>
        </is>
      </c>
      <c r="E25" s="3" t="inlineStr">
        <is>
          <t>ORGANIC_MATERIAL</t>
        </is>
      </c>
      <c r="F25" s="3" t="inlineStr">
        <is>
          <t>1:1.5_volume</t>
        </is>
      </c>
      <c r="G25" s="3" t="n">
        <v>83</v>
      </c>
      <c r="H25" s="3" t="n">
        <v>1</v>
      </c>
      <c r="I25" s="3" t="n">
        <v>1.6</v>
      </c>
      <c r="J25" s="3" t="n">
        <v>5.3</v>
      </c>
      <c r="K25" s="3" t="inlineStr">
        <is>
          <t>winter</t>
        </is>
      </c>
      <c r="L25" s="3" t="n">
        <v>0.25</v>
      </c>
      <c r="M25" s="3" t="n">
        <v>10.75</v>
      </c>
      <c r="N25" s="3" t="n">
        <v>1.25</v>
      </c>
      <c r="O25" s="3" t="n">
        <v>4.25</v>
      </c>
      <c r="P25" s="3" t="n">
        <v>3.75</v>
      </c>
      <c r="Q25" s="3" t="n">
        <v>1.75</v>
      </c>
      <c r="R25" s="3" t="n">
        <v>1.75</v>
      </c>
      <c r="S25" s="3" t="n">
        <v>0</v>
      </c>
      <c r="T25" s="3" t="n">
        <v>35</v>
      </c>
      <c r="U25" s="3" t="n">
        <v>7</v>
      </c>
      <c r="V25" s="3" t="n">
        <v>3.5</v>
      </c>
      <c r="W25" s="3" t="n">
        <v>35</v>
      </c>
      <c r="X25" s="3" t="n">
        <v>1.1</v>
      </c>
      <c r="Y25" s="3" t="n">
        <v>1</v>
      </c>
      <c r="Z25" s="3" t="n">
        <v>2</v>
      </c>
    </row>
    <row r="26">
      <c r="A26" s="2" t="inlineStr">
        <is>
          <t>cut_flowers</t>
        </is>
      </c>
      <c r="B26" s="2" t="inlineStr">
        <is>
          <t>rose</t>
        </is>
      </c>
      <c r="C26" s="2" t="inlineStr">
        <is>
          <t>Rose</t>
        </is>
      </c>
      <c r="D26" s="2" t="inlineStr">
        <is>
          <t>月季</t>
        </is>
      </c>
      <c r="E26" s="2" t="inlineStr">
        <is>
          <t>SOIL</t>
        </is>
      </c>
      <c r="F26" s="2" t="inlineStr">
        <is>
          <t>1:2_volume</t>
        </is>
      </c>
      <c r="G26" s="2" t="n">
        <v>84</v>
      </c>
      <c r="H26" s="2" t="n">
        <v>1</v>
      </c>
      <c r="I26" s="2" t="n">
        <v>1.2</v>
      </c>
      <c r="J26" s="2" t="n">
        <v>5.3</v>
      </c>
      <c r="K26" s="2" t="inlineStr">
        <is>
          <t>fertigation</t>
        </is>
      </c>
      <c r="L26" s="2" t="n">
        <v>0.9</v>
      </c>
      <c r="M26" s="2" t="n">
        <v>7.9</v>
      </c>
      <c r="N26" s="2" t="n">
        <v>0.5</v>
      </c>
      <c r="O26" s="2" t="n">
        <v>3.5</v>
      </c>
      <c r="P26" s="2" t="n">
        <v>2</v>
      </c>
      <c r="Q26" s="2" t="n">
        <v>1.1</v>
      </c>
      <c r="R26" s="2" t="n">
        <v>1.1</v>
      </c>
      <c r="S26" s="2" t="n">
        <v>0</v>
      </c>
      <c r="T26" s="2" t="n">
        <v>5</v>
      </c>
      <c r="U26" s="2" t="n">
        <v>2</v>
      </c>
      <c r="V26" s="2" t="n">
        <v>2</v>
      </c>
      <c r="W26" s="2" t="n">
        <v>10</v>
      </c>
      <c r="X26" s="2" t="n">
        <v>0.3</v>
      </c>
      <c r="Y26" s="2" t="n">
        <v>0</v>
      </c>
      <c r="Z26" s="2" t="n">
        <v>3</v>
      </c>
    </row>
    <row r="27">
      <c r="A27" s="3" t="inlineStr">
        <is>
          <t>cut_flowers</t>
        </is>
      </c>
      <c r="B27" s="3" t="inlineStr">
        <is>
          <t>zantedeschia</t>
        </is>
      </c>
      <c r="C27" s="3" t="inlineStr">
        <is>
          <t>Zantedeschia</t>
        </is>
      </c>
      <c r="D27" s="3" t="inlineStr">
        <is>
          <t>马蹄莲</t>
        </is>
      </c>
      <c r="E27" s="3" t="inlineStr">
        <is>
          <t>ORGANIC_MATERIAL</t>
        </is>
      </c>
      <c r="F27" s="3" t="inlineStr">
        <is>
          <t>1:1.5_volume</t>
        </is>
      </c>
      <c r="G27" s="3" t="n">
        <v>85</v>
      </c>
      <c r="H27" s="3" t="n">
        <v>0.9</v>
      </c>
      <c r="I27" s="3" t="n">
        <v>0.7</v>
      </c>
      <c r="J27" s="3" t="n">
        <v>5.3</v>
      </c>
      <c r="K27" s="3" t="inlineStr">
        <is>
          <t>fertigation</t>
        </is>
      </c>
      <c r="L27" s="3" t="n">
        <v>0.1</v>
      </c>
      <c r="M27" s="3" t="n">
        <v>3.5</v>
      </c>
      <c r="N27" s="3" t="n">
        <v>0.5</v>
      </c>
      <c r="O27" s="3" t="n">
        <v>2.5</v>
      </c>
      <c r="P27" s="3" t="n">
        <v>1</v>
      </c>
      <c r="Q27" s="3" t="n">
        <v>0.5</v>
      </c>
      <c r="R27" s="3" t="n">
        <v>1.4</v>
      </c>
      <c r="S27" s="3" t="n">
        <v>2.5</v>
      </c>
      <c r="T27" s="3" t="n">
        <v>8</v>
      </c>
      <c r="U27" s="3" t="n">
        <v>2</v>
      </c>
      <c r="V27" s="3" t="n">
        <v>2</v>
      </c>
      <c r="W27" s="3" t="n">
        <v>15</v>
      </c>
      <c r="X27" s="3" t="n">
        <v>0.7</v>
      </c>
      <c r="Y27" s="3" t="n">
        <v>0.3</v>
      </c>
      <c r="Z27" s="3" t="n">
        <v>2.5</v>
      </c>
    </row>
    <row r="28">
      <c r="A28" s="2" t="inlineStr">
        <is>
          <t>cut_flowers</t>
        </is>
      </c>
      <c r="B28" s="2" t="inlineStr">
        <is>
          <t>zantedeschia</t>
        </is>
      </c>
      <c r="C28" s="2" t="inlineStr">
        <is>
          <t>Zantedeschia</t>
        </is>
      </c>
      <c r="D28" s="2" t="inlineStr">
        <is>
          <t>马蹄莲</t>
        </is>
      </c>
      <c r="E28" s="2" t="inlineStr">
        <is>
          <t>SOIL</t>
        </is>
      </c>
      <c r="F28" s="2" t="inlineStr">
        <is>
          <t>1:2_volume</t>
        </is>
      </c>
      <c r="G28" s="2" t="n">
        <v>87</v>
      </c>
      <c r="H28" s="2" t="n">
        <v>0.9</v>
      </c>
      <c r="I28" s="2" t="n">
        <v>1</v>
      </c>
      <c r="J28" s="2" t="n">
        <v>5.3</v>
      </c>
      <c r="K28" s="2" t="inlineStr">
        <is>
          <t>fertigation</t>
        </is>
      </c>
      <c r="L28" s="2" t="n">
        <v>0.9</v>
      </c>
      <c r="M28" s="2" t="n">
        <v>7.3</v>
      </c>
      <c r="N28" s="2" t="n">
        <v>0.5</v>
      </c>
      <c r="O28" s="2" t="n">
        <v>3.5</v>
      </c>
      <c r="P28" s="2" t="n">
        <v>1.8</v>
      </c>
      <c r="Q28" s="2" t="n">
        <v>1</v>
      </c>
      <c r="R28" s="2" t="n">
        <v>1.1</v>
      </c>
      <c r="S28" s="2" t="n">
        <v>0</v>
      </c>
      <c r="T28" s="2" t="n">
        <v>5</v>
      </c>
      <c r="U28" s="2" t="n">
        <v>1</v>
      </c>
      <c r="V28" s="2" t="n">
        <v>0.5</v>
      </c>
      <c r="W28" s="2" t="n">
        <v>10</v>
      </c>
      <c r="X28" s="2" t="n">
        <v>0.3</v>
      </c>
      <c r="Y28" s="2" t="n">
        <v>0</v>
      </c>
      <c r="Z28" s="2" t="n">
        <v>3</v>
      </c>
    </row>
  </sheetData>
  <conditionalFormatting sqref="I2:I28">
    <cfRule type="colorScale" priority="1">
      <colorScale>
        <cfvo type="min"/>
        <cfvo type="max"/>
        <color rgb="00FFFFFF"/>
        <color rgb="001E4D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0" customHeight="1">
      <c r="A1" s="1" t="inlineStr">
        <is>
          <t>category</t>
        </is>
      </c>
      <c r="B1" s="1" t="inlineStr">
        <is>
          <t>crop_id</t>
        </is>
      </c>
      <c r="C1" s="1" t="inlineStr">
        <is>
          <t>crop_en</t>
        </is>
      </c>
      <c r="D1" s="1" t="inlineStr">
        <is>
          <t>crop_zh</t>
        </is>
      </c>
      <c r="E1" s="1" t="inlineStr">
        <is>
          <t>substrate_type</t>
        </is>
      </c>
      <c r="F1" s="1" t="inlineStr">
        <is>
          <t>extract_method</t>
        </is>
      </c>
      <c r="G1" s="1" t="inlineStr">
        <is>
          <t>source_page</t>
        </is>
      </c>
      <c r="H1" s="1" t="inlineStr">
        <is>
          <t>ec_root_zone</t>
        </is>
      </c>
      <c r="I1" s="1" t="inlineStr">
        <is>
          <t>ec_fertigation</t>
        </is>
      </c>
      <c r="J1" s="1" t="inlineStr">
        <is>
          <t>ph_fertigation</t>
        </is>
      </c>
      <c r="K1" s="1" t="inlineStr">
        <is>
          <t>growth_stage</t>
        </is>
      </c>
      <c r="L1" s="1" t="inlineStr">
        <is>
          <t>NH4_mmol_l</t>
        </is>
      </c>
      <c r="M1" s="1" t="inlineStr">
        <is>
          <t>NO3_mmol_l</t>
        </is>
      </c>
      <c r="N1" s="1" t="inlineStr">
        <is>
          <t>P_mmol_l</t>
        </is>
      </c>
      <c r="O1" s="1" t="inlineStr">
        <is>
          <t>K_mmol_l</t>
        </is>
      </c>
      <c r="P1" s="1" t="inlineStr">
        <is>
          <t>Ca_mmol_l</t>
        </is>
      </c>
      <c r="Q1" s="1" t="inlineStr">
        <is>
          <t>Mg_mmol_l</t>
        </is>
      </c>
      <c r="R1" s="1" t="inlineStr">
        <is>
          <t>S_mmol_l</t>
        </is>
      </c>
      <c r="S1" s="1" t="inlineStr">
        <is>
          <t>Cl_mmol_l</t>
        </is>
      </c>
      <c r="T1" s="1" t="inlineStr">
        <is>
          <t>Fe_umol_l</t>
        </is>
      </c>
      <c r="U1" s="1" t="inlineStr">
        <is>
          <t>Mn_umol_l</t>
        </is>
      </c>
      <c r="V1" s="1" t="inlineStr">
        <is>
          <t>Zn_umol_l</t>
        </is>
      </c>
      <c r="W1" s="1" t="inlineStr">
        <is>
          <t>B_umol_l</t>
        </is>
      </c>
      <c r="X1" s="1" t="inlineStr">
        <is>
          <t>Cu_umol_l</t>
        </is>
      </c>
      <c r="Y1" s="1" t="inlineStr">
        <is>
          <t>Mo_umol_l</t>
        </is>
      </c>
      <c r="Z1" s="1" t="inlineStr">
        <is>
          <t>Na_max_mmol_l</t>
        </is>
      </c>
    </row>
    <row r="2">
      <c r="A2" s="2" t="inlineStr">
        <is>
          <t>potted_plants</t>
        </is>
      </c>
      <c r="B2" s="2" t="inlineStr">
        <is>
          <t>anthurium</t>
        </is>
      </c>
      <c r="C2" s="2" t="inlineStr">
        <is>
          <t>Anthurium</t>
        </is>
      </c>
      <c r="D2" s="2" t="inlineStr">
        <is>
          <t>红掌</t>
        </is>
      </c>
      <c r="E2" s="2" t="inlineStr">
        <is>
          <t>INERT_SUBSTRATE</t>
        </is>
      </c>
      <c r="F2" s="2" t="inlineStr">
        <is>
          <t>direct</t>
        </is>
      </c>
      <c r="G2" s="2" t="n">
        <v>73</v>
      </c>
      <c r="H2" s="2" t="n">
        <v>1</v>
      </c>
      <c r="I2" s="2" t="n">
        <v>0.9</v>
      </c>
      <c r="J2" s="2" t="n">
        <v>5.3</v>
      </c>
      <c r="K2" s="2" t="inlineStr">
        <is>
          <t>fertigation</t>
        </is>
      </c>
      <c r="L2" s="2" t="n">
        <v>0.3</v>
      </c>
      <c r="M2" s="2" t="n">
        <v>6.4</v>
      </c>
      <c r="N2" s="2" t="n">
        <v>0.8</v>
      </c>
      <c r="O2" s="2" t="n">
        <v>3.9</v>
      </c>
      <c r="P2" s="2" t="n">
        <v>1.3</v>
      </c>
      <c r="Q2" s="2" t="n">
        <v>1</v>
      </c>
      <c r="R2" s="2" t="n">
        <v>0.8</v>
      </c>
      <c r="S2" s="2" t="n">
        <v>0</v>
      </c>
      <c r="T2" s="2" t="n">
        <v>15</v>
      </c>
      <c r="U2" s="2" t="n">
        <v>0</v>
      </c>
      <c r="V2" s="2" t="n">
        <v>3</v>
      </c>
      <c r="W2" s="2" t="n">
        <v>30</v>
      </c>
      <c r="X2" s="2" t="n">
        <v>0.75</v>
      </c>
      <c r="Y2" s="2" t="n">
        <v>0.5</v>
      </c>
      <c r="Z2" s="2" t="n">
        <v>2</v>
      </c>
    </row>
    <row r="3">
      <c r="A3" s="3" t="inlineStr">
        <is>
          <t>potted_plants</t>
        </is>
      </c>
      <c r="B3" s="3" t="inlineStr">
        <is>
          <t>anthurium</t>
        </is>
      </c>
      <c r="C3" s="3" t="inlineStr">
        <is>
          <t>Anthurium</t>
        </is>
      </c>
      <c r="D3" s="3" t="inlineStr">
        <is>
          <t>红掌</t>
        </is>
      </c>
      <c r="E3" s="3" t="inlineStr">
        <is>
          <t>INERT_SUBSTRATE</t>
        </is>
      </c>
      <c r="F3" s="3" t="inlineStr">
        <is>
          <t>direct</t>
        </is>
      </c>
      <c r="G3" s="3" t="n">
        <v>73</v>
      </c>
      <c r="H3" s="3" t="n">
        <v>1</v>
      </c>
      <c r="I3" s="3" t="n">
        <v>0.9</v>
      </c>
      <c r="J3" s="3" t="n">
        <v>5.3</v>
      </c>
      <c r="K3" s="3" t="inlineStr">
        <is>
          <t>start</t>
        </is>
      </c>
      <c r="L3" s="3" t="n">
        <v>0.01</v>
      </c>
      <c r="M3" s="3" t="n">
        <v>5.61</v>
      </c>
      <c r="N3" s="3" t="n">
        <v>0.8</v>
      </c>
      <c r="O3" s="3" t="n">
        <v>4.46</v>
      </c>
      <c r="P3" s="3" t="n">
        <v>0.8</v>
      </c>
      <c r="Q3" s="3" t="n">
        <v>1</v>
      </c>
      <c r="R3" s="3" t="n">
        <v>0.8</v>
      </c>
      <c r="S3" s="3" t="n">
        <v>0</v>
      </c>
      <c r="T3" s="3" t="n">
        <v>20.01</v>
      </c>
      <c r="U3" s="3" t="n">
        <v>0</v>
      </c>
      <c r="V3" s="3" t="n">
        <v>3</v>
      </c>
      <c r="W3" s="3" t="n">
        <v>84</v>
      </c>
      <c r="X3" s="3" t="n">
        <v>0.75</v>
      </c>
      <c r="Y3" s="3" t="n">
        <v>0.5</v>
      </c>
      <c r="Z3" s="3" t="n">
        <v>2</v>
      </c>
    </row>
    <row r="4">
      <c r="A4" s="2" t="inlineStr">
        <is>
          <t>potted_plants</t>
        </is>
      </c>
      <c r="B4" s="2" t="inlineStr">
        <is>
          <t>anthurium</t>
        </is>
      </c>
      <c r="C4" s="2" t="inlineStr">
        <is>
          <t>Anthurium</t>
        </is>
      </c>
      <c r="D4" s="2" t="inlineStr">
        <is>
          <t>红掌</t>
        </is>
      </c>
      <c r="E4" s="2" t="inlineStr">
        <is>
          <t>ORGANIC_MATERIAL</t>
        </is>
      </c>
      <c r="F4" s="2" t="inlineStr">
        <is>
          <t>1:1.5_volume</t>
        </is>
      </c>
      <c r="G4" s="2" t="n">
        <v>74</v>
      </c>
      <c r="H4" s="2" t="n">
        <v>1</v>
      </c>
      <c r="I4" s="2" t="n">
        <v>0.8</v>
      </c>
      <c r="J4" s="2" t="n">
        <v>5.3</v>
      </c>
      <c r="K4" s="2" t="inlineStr">
        <is>
          <t>fertigation</t>
        </is>
      </c>
      <c r="L4" s="2" t="n">
        <v>0.8</v>
      </c>
      <c r="M4" s="2" t="n">
        <v>4.5</v>
      </c>
      <c r="N4" s="2" t="n">
        <v>0.7</v>
      </c>
      <c r="O4" s="2" t="n">
        <v>3</v>
      </c>
      <c r="P4" s="2" t="n">
        <v>1</v>
      </c>
      <c r="Q4" s="2" t="n">
        <v>0.7</v>
      </c>
      <c r="R4" s="2" t="n">
        <v>1</v>
      </c>
      <c r="S4" s="2" t="n">
        <v>0</v>
      </c>
      <c r="T4" s="2" t="n">
        <v>15</v>
      </c>
      <c r="U4" s="2" t="n">
        <v>0</v>
      </c>
      <c r="V4" s="2" t="n">
        <v>3</v>
      </c>
      <c r="W4" s="2" t="n">
        <v>20</v>
      </c>
      <c r="X4" s="2" t="n">
        <v>0.5</v>
      </c>
      <c r="Y4" s="2" t="n">
        <v>0.5</v>
      </c>
      <c r="Z4" s="2" t="n">
        <v>2</v>
      </c>
    </row>
    <row r="5">
      <c r="A5" s="3" t="inlineStr">
        <is>
          <t>potted_plants</t>
        </is>
      </c>
      <c r="B5" s="3" t="inlineStr">
        <is>
          <t>bedding_plants</t>
        </is>
      </c>
      <c r="C5" s="3" t="inlineStr">
        <is>
          <t>Bedding Plants</t>
        </is>
      </c>
      <c r="D5" s="3" t="inlineStr">
        <is>
          <t>花坛植物</t>
        </is>
      </c>
      <c r="E5" s="3" t="inlineStr">
        <is>
          <t>ORGANIC_MATERIAL</t>
        </is>
      </c>
      <c r="F5" s="3" t="inlineStr">
        <is>
          <t>1:1.5_volume</t>
        </is>
      </c>
      <c r="G5" s="3" t="n">
        <v>89</v>
      </c>
      <c r="H5" s="3" t="n">
        <v>0.6</v>
      </c>
      <c r="I5" s="3" t="n">
        <v>0.6</v>
      </c>
      <c r="J5" s="3" t="n">
        <v>5.3</v>
      </c>
      <c r="K5" s="3" t="inlineStr">
        <is>
          <t>fertigation</t>
        </is>
      </c>
      <c r="L5" s="3" t="n">
        <v>0.1</v>
      </c>
      <c r="M5" s="3" t="n">
        <v>2</v>
      </c>
      <c r="N5" s="3" t="n">
        <v>0.5</v>
      </c>
      <c r="O5" s="3" t="n">
        <v>1.3</v>
      </c>
      <c r="P5" s="3" t="n">
        <v>0.9</v>
      </c>
      <c r="Q5" s="3" t="n">
        <v>0.5</v>
      </c>
      <c r="R5" s="3" t="n">
        <v>1</v>
      </c>
      <c r="S5" s="3" t="n">
        <v>4</v>
      </c>
      <c r="T5" s="3" t="n">
        <v>8</v>
      </c>
      <c r="U5" s="3" t="n">
        <v>2</v>
      </c>
      <c r="V5" s="3" t="n">
        <v>2</v>
      </c>
      <c r="W5" s="3" t="n">
        <v>15</v>
      </c>
      <c r="X5" s="3" t="n">
        <v>0.7</v>
      </c>
      <c r="Y5" s="3" t="n">
        <v>0.3</v>
      </c>
      <c r="Z5" s="3" t="n">
        <v>2.5</v>
      </c>
    </row>
    <row r="6">
      <c r="A6" s="2" t="inlineStr">
        <is>
          <t>potted_plants</t>
        </is>
      </c>
      <c r="B6" s="2" t="inlineStr">
        <is>
          <t>poinsettia</t>
        </is>
      </c>
      <c r="C6" s="2" t="inlineStr">
        <is>
          <t>Poinsettia</t>
        </is>
      </c>
      <c r="D6" s="2" t="inlineStr">
        <is>
          <t>一品红</t>
        </is>
      </c>
      <c r="E6" s="2" t="inlineStr">
        <is>
          <t>ORGANIC_MATERIAL</t>
        </is>
      </c>
      <c r="F6" s="2" t="inlineStr">
        <is>
          <t>1:1.5_volume</t>
        </is>
      </c>
      <c r="G6" s="2" t="n">
        <v>90</v>
      </c>
      <c r="H6" s="2" t="n">
        <v>0.7</v>
      </c>
      <c r="I6" s="2" t="n">
        <v>1.8</v>
      </c>
      <c r="J6" s="2" t="n">
        <v>5.3</v>
      </c>
      <c r="K6" s="2" t="inlineStr">
        <is>
          <t>fertigation</t>
        </is>
      </c>
      <c r="L6" s="2" t="n">
        <v>1.75</v>
      </c>
      <c r="M6" s="2" t="n">
        <v>11.75</v>
      </c>
      <c r="N6" s="2" t="n">
        <v>1</v>
      </c>
      <c r="O6" s="2" t="n">
        <v>3.5</v>
      </c>
      <c r="P6" s="2" t="n">
        <v>3.75</v>
      </c>
      <c r="Q6" s="2" t="n">
        <v>1</v>
      </c>
      <c r="R6" s="2" t="n">
        <v>1</v>
      </c>
      <c r="S6" s="2" t="n">
        <v>0</v>
      </c>
      <c r="T6" s="2" t="n">
        <v>15</v>
      </c>
      <c r="U6" s="2" t="n">
        <v>5</v>
      </c>
      <c r="V6" s="2" t="n">
        <v>3</v>
      </c>
      <c r="W6" s="2" t="n">
        <v>10</v>
      </c>
      <c r="X6" s="2" t="n">
        <v>0.5</v>
      </c>
      <c r="Y6" s="2" t="n">
        <v>0.5</v>
      </c>
      <c r="Z6" s="2" t="n">
        <v>2.5</v>
      </c>
    </row>
    <row r="7">
      <c r="A7" s="3" t="inlineStr">
        <is>
          <t>potted_plants</t>
        </is>
      </c>
      <c r="B7" s="3" t="inlineStr">
        <is>
          <t>flowering_plants</t>
        </is>
      </c>
      <c r="C7" s="3" t="inlineStr">
        <is>
          <t>Flowering Plants</t>
        </is>
      </c>
      <c r="D7" s="3" t="inlineStr">
        <is>
          <t>观花盆栽</t>
        </is>
      </c>
      <c r="E7" s="3" t="inlineStr">
        <is>
          <t>ORGANIC_MATERIAL</t>
        </is>
      </c>
      <c r="F7" s="3" t="inlineStr">
        <is>
          <t>1:1.5_volume</t>
        </is>
      </c>
      <c r="G7" s="3" t="n">
        <v>91</v>
      </c>
      <c r="H7" s="3" t="n">
        <v>1</v>
      </c>
      <c r="I7" s="3" t="n">
        <v>0.8</v>
      </c>
      <c r="J7" s="3" t="n">
        <v>5.3</v>
      </c>
      <c r="K7" s="3" t="inlineStr">
        <is>
          <t>fertigation</t>
        </is>
      </c>
      <c r="L7" s="3" t="n">
        <v>0.1</v>
      </c>
      <c r="M7" s="3" t="n">
        <v>3.5</v>
      </c>
      <c r="N7" s="3" t="n">
        <v>0.5</v>
      </c>
      <c r="O7" s="3" t="n">
        <v>2.5</v>
      </c>
      <c r="P7" s="3" t="n">
        <v>1</v>
      </c>
      <c r="Q7" s="3" t="n">
        <v>0.5</v>
      </c>
      <c r="R7" s="3" t="n">
        <v>1.4</v>
      </c>
      <c r="S7" s="3" t="n">
        <v>3.5</v>
      </c>
      <c r="T7" s="3" t="n">
        <v>8</v>
      </c>
      <c r="U7" s="3" t="n">
        <v>2</v>
      </c>
      <c r="V7" s="3" t="n">
        <v>2</v>
      </c>
      <c r="W7" s="3" t="n">
        <v>15</v>
      </c>
      <c r="X7" s="3" t="n">
        <v>0.7</v>
      </c>
      <c r="Y7" s="3" t="n">
        <v>0.3</v>
      </c>
      <c r="Z7" s="3" t="n">
        <v>3.5</v>
      </c>
    </row>
    <row r="8">
      <c r="A8" s="2" t="inlineStr">
        <is>
          <t>potted_plants</t>
        </is>
      </c>
      <c r="B8" s="2" t="inlineStr">
        <is>
          <t>foliage_plants</t>
        </is>
      </c>
      <c r="C8" s="2" t="inlineStr">
        <is>
          <t>Foliage Plants</t>
        </is>
      </c>
      <c r="D8" s="2" t="inlineStr">
        <is>
          <t>观叶盆栽</t>
        </is>
      </c>
      <c r="E8" s="2" t="inlineStr">
        <is>
          <t>ORGANIC_MATERIAL</t>
        </is>
      </c>
      <c r="F8" s="2" t="inlineStr">
        <is>
          <t>1:1.5_volume</t>
        </is>
      </c>
      <c r="G8" s="2" t="n">
        <v>92</v>
      </c>
      <c r="H8" s="2" t="n">
        <v>0</v>
      </c>
      <c r="I8" s="2" t="n">
        <v>1.2</v>
      </c>
      <c r="J8" s="2" t="n">
        <v>5.3</v>
      </c>
      <c r="K8" s="2" t="inlineStr">
        <is>
          <t>fertigation</t>
        </is>
      </c>
      <c r="L8" s="2" t="n">
        <v>0.1</v>
      </c>
      <c r="M8" s="2" t="n">
        <v>7.5</v>
      </c>
      <c r="N8" s="2" t="n">
        <v>0.5</v>
      </c>
      <c r="O8" s="2" t="n">
        <v>4</v>
      </c>
      <c r="P8" s="2" t="n">
        <v>2</v>
      </c>
      <c r="Q8" s="2" t="n">
        <v>0.7</v>
      </c>
      <c r="R8" s="2" t="n">
        <v>1.5</v>
      </c>
      <c r="S8" s="2" t="n">
        <v>2.5</v>
      </c>
      <c r="T8" s="2" t="n">
        <v>10</v>
      </c>
      <c r="U8" s="2" t="n">
        <v>2</v>
      </c>
      <c r="V8" s="2" t="n">
        <v>2</v>
      </c>
      <c r="W8" s="2" t="n">
        <v>10</v>
      </c>
      <c r="X8" s="2" t="n">
        <v>0.7</v>
      </c>
      <c r="Y8" s="2" t="n">
        <v>0.3</v>
      </c>
      <c r="Z8" s="2" t="inlineStr"/>
    </row>
    <row r="9">
      <c r="A9" s="3" t="inlineStr">
        <is>
          <t>potted_plants</t>
        </is>
      </c>
      <c r="B9" s="3" t="inlineStr">
        <is>
          <t>phalaenopsis</t>
        </is>
      </c>
      <c r="C9" s="3" t="inlineStr">
        <is>
          <t>Phalaenopsis</t>
        </is>
      </c>
      <c r="D9" s="3" t="inlineStr">
        <is>
          <t>蝴蝶兰</t>
        </is>
      </c>
      <c r="E9" s="3" t="inlineStr">
        <is>
          <t>INERT_SUBSTRATE</t>
        </is>
      </c>
      <c r="F9" s="3" t="inlineStr">
        <is>
          <t>direct</t>
        </is>
      </c>
      <c r="G9" s="3" t="n">
        <v>93</v>
      </c>
      <c r="H9" s="3" t="n">
        <v>1.2</v>
      </c>
      <c r="I9" s="3" t="n">
        <v>1.1</v>
      </c>
      <c r="J9" s="3" t="n">
        <v>5.5</v>
      </c>
      <c r="K9" s="3" t="inlineStr">
        <is>
          <t>fertigation</t>
        </is>
      </c>
      <c r="L9" s="3" t="n">
        <v>0.4</v>
      </c>
      <c r="M9" s="3" t="n">
        <v>6</v>
      </c>
      <c r="N9" s="3" t="n">
        <v>1</v>
      </c>
      <c r="O9" s="3" t="n">
        <v>4.6</v>
      </c>
      <c r="P9" s="3" t="n">
        <v>1.7</v>
      </c>
      <c r="Q9" s="3" t="n">
        <v>1.2</v>
      </c>
      <c r="R9" s="3" t="n">
        <v>1.9</v>
      </c>
      <c r="S9" s="3" t="n">
        <v>0</v>
      </c>
      <c r="T9" s="3" t="n">
        <v>5</v>
      </c>
      <c r="U9" s="3" t="n">
        <v>15</v>
      </c>
      <c r="V9" s="3" t="n">
        <v>4</v>
      </c>
      <c r="W9" s="3" t="n">
        <v>15</v>
      </c>
      <c r="X9" s="3" t="n">
        <v>0.5</v>
      </c>
      <c r="Y9" s="3" t="n">
        <v>0.5</v>
      </c>
      <c r="Z9" s="3" t="inlineStr"/>
    </row>
    <row r="10">
      <c r="A10" s="2" t="inlineStr">
        <is>
          <t>potted_plants</t>
        </is>
      </c>
      <c r="B10" s="2" t="inlineStr">
        <is>
          <t>orchids_other</t>
        </is>
      </c>
      <c r="C10" s="2" t="inlineStr">
        <is>
          <t>Orchids (other)</t>
        </is>
      </c>
      <c r="D10" s="2" t="inlineStr">
        <is>
          <t>其他兰花</t>
        </is>
      </c>
      <c r="E10" s="2" t="inlineStr">
        <is>
          <t>ORGANIC_MATERIAL</t>
        </is>
      </c>
      <c r="F10" s="2" t="inlineStr">
        <is>
          <t>1:1.5_volume</t>
        </is>
      </c>
      <c r="G10" s="2" t="n">
        <v>94</v>
      </c>
      <c r="H10" s="2" t="n">
        <v>0.7</v>
      </c>
      <c r="I10" s="2" t="n">
        <v>1.1</v>
      </c>
      <c r="J10" s="2" t="n">
        <v>5.3</v>
      </c>
      <c r="K10" s="2" t="inlineStr">
        <is>
          <t>fertigation</t>
        </is>
      </c>
      <c r="L10" s="2" t="n">
        <v>0.8</v>
      </c>
      <c r="M10" s="2" t="n">
        <v>7.1</v>
      </c>
      <c r="N10" s="2" t="n">
        <v>1</v>
      </c>
      <c r="O10" s="2" t="n">
        <v>3.7</v>
      </c>
      <c r="P10" s="2" t="n">
        <v>2</v>
      </c>
      <c r="Q10" s="2" t="n">
        <v>0.5</v>
      </c>
      <c r="R10" s="2" t="n">
        <v>0.7</v>
      </c>
      <c r="S10" s="2" t="n">
        <v>0</v>
      </c>
      <c r="T10" s="2" t="n">
        <v>15</v>
      </c>
      <c r="U10" s="2" t="n">
        <v>5</v>
      </c>
      <c r="V10" s="2" t="n">
        <v>3</v>
      </c>
      <c r="W10" s="2" t="n">
        <v>10</v>
      </c>
      <c r="X10" s="2" t="n">
        <v>0.5</v>
      </c>
      <c r="Y10" s="2" t="n">
        <v>0.5</v>
      </c>
      <c r="Z10" s="2" t="n">
        <v>2</v>
      </c>
    </row>
    <row r="11">
      <c r="A11" s="3" t="inlineStr">
        <is>
          <t>potted_plants</t>
        </is>
      </c>
      <c r="B11" s="3" t="inlineStr">
        <is>
          <t>orchids_other</t>
        </is>
      </c>
      <c r="C11" s="3" t="inlineStr">
        <is>
          <t>Orchids (other)</t>
        </is>
      </c>
      <c r="D11" s="3" t="inlineStr">
        <is>
          <t>其他兰花</t>
        </is>
      </c>
      <c r="E11" s="3" t="inlineStr">
        <is>
          <t>ORGANIC_MATERIAL</t>
        </is>
      </c>
      <c r="F11" s="3" t="inlineStr">
        <is>
          <t>1:1.5_volume</t>
        </is>
      </c>
      <c r="G11" s="3" t="n">
        <v>94</v>
      </c>
      <c r="H11" s="3" t="n">
        <v>0.7</v>
      </c>
      <c r="I11" s="3" t="n">
        <v>1.1</v>
      </c>
      <c r="J11" s="3" t="n">
        <v>5.3</v>
      </c>
      <c r="K11" s="3" t="inlineStr">
        <is>
          <t>flowering</t>
        </is>
      </c>
      <c r="L11" s="3" t="n">
        <v>0.6</v>
      </c>
      <c r="M11" s="3" t="n">
        <v>6.1</v>
      </c>
      <c r="N11" s="3" t="n">
        <v>1</v>
      </c>
      <c r="O11" s="3" t="n">
        <v>4.4</v>
      </c>
      <c r="P11" s="3" t="n">
        <v>1.7</v>
      </c>
      <c r="Q11" s="3" t="n">
        <v>0.7</v>
      </c>
      <c r="R11" s="3" t="n">
        <v>1.05</v>
      </c>
      <c r="S11" s="3" t="n">
        <v>0</v>
      </c>
      <c r="T11" s="3" t="n">
        <v>15</v>
      </c>
      <c r="U11" s="3" t="n">
        <v>5</v>
      </c>
      <c r="V11" s="3" t="n">
        <v>3</v>
      </c>
      <c r="W11" s="3" t="n">
        <v>10</v>
      </c>
      <c r="X11" s="3" t="n">
        <v>0.5</v>
      </c>
      <c r="Y11" s="3" t="n">
        <v>0.5</v>
      </c>
      <c r="Z11" s="3" t="n">
        <v>2</v>
      </c>
    </row>
  </sheetData>
  <conditionalFormatting sqref="I2:I11">
    <cfRule type="colorScale" priority="1">
      <colorScale>
        <cfvo type="min"/>
        <cfvo type="max"/>
        <color rgb="00FFFFFF"/>
        <color rgb="001E4D2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2026-08-21T17:14:58Z</dcterms:created>
  <dcterms:modified xsi:type="dcterms:W3CDTF">2026-08-21T17:14:58Z</dcterms:modified>
</cp:coreProperties>
</file>