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id Titration Lookup" sheetId="1" state="visible" r:id="rId1"/>
    <sheet name="Nutrient Yield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Raw Water HCO3 vs Acid Required (mL/m3)</a:t>
            </a:r>
          </a:p>
        </rich>
      </tx>
    </title>
    <plotArea>
      <lineChart>
        <grouping val="standard"/>
        <ser>
          <idx val="0"/>
          <order val="0"/>
          <tx>
            <strRef>
              <f>'Acid Titration Lookup'!D1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'Acid Titration Lookup'!$A$2:$A$16</f>
            </numRef>
          </cat>
          <val>
            <numRef>
              <f>'Acid Titration Lookup'!$D$2:$D$16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Raw water HCO3 (mmol/L)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HNO3 38% required (mL/m3)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Raw HCO3 (mmol/L) 原水碳酸氢盐</t>
        </is>
      </c>
      <c r="B1" s="1" t="inlineStr">
        <is>
          <t>HCO3 Buffer Retained (mmol/L) 保留缓冲</t>
        </is>
      </c>
      <c r="C1" s="1" t="inlineStr">
        <is>
          <t>H+ Required (mmol/L) 所需质子</t>
        </is>
      </c>
      <c r="D1" s="1" t="inlineStr">
        <is>
          <t>HNO3 38% (mL/m3) 硝酸</t>
        </is>
      </c>
      <c r="E1" s="1" t="inlineStr">
        <is>
          <t>HNO3 38% (L per 1000L stock @100x) 母液罐</t>
        </is>
      </c>
      <c r="F1" s="1" t="inlineStr">
        <is>
          <t>H3PO4 59% (mL/m3) 磷酸</t>
        </is>
      </c>
      <c r="G1" s="1" t="inlineStr">
        <is>
          <t>N-NO3 added (mmol/L) 带入硝态氮</t>
        </is>
      </c>
      <c r="H1" s="1" t="inlineStr">
        <is>
          <t>P added if phosphoric (mmol/L) 带入磷</t>
        </is>
      </c>
    </row>
    <row r="2">
      <c r="A2" s="2" t="n">
        <v>1</v>
      </c>
      <c r="B2" s="2" t="n">
        <v>0.5</v>
      </c>
      <c r="C2" s="2" t="n">
        <v>0.5</v>
      </c>
      <c r="D2" s="2" t="n">
        <v>67.3</v>
      </c>
      <c r="E2" s="2" t="n">
        <v>6.73</v>
      </c>
      <c r="F2" s="2" t="n">
        <v>58.8</v>
      </c>
      <c r="G2" s="2" t="n">
        <v>0.5</v>
      </c>
      <c r="H2" s="2" t="n">
        <v>0.5</v>
      </c>
    </row>
    <row r="3">
      <c r="A3" s="3" t="n">
        <v>1.5</v>
      </c>
      <c r="B3" s="3" t="n">
        <v>0.5</v>
      </c>
      <c r="C3" s="3" t="n">
        <v>1</v>
      </c>
      <c r="D3" s="3" t="n">
        <v>134.7</v>
      </c>
      <c r="E3" s="3" t="n">
        <v>13.47</v>
      </c>
      <c r="F3" s="3" t="n">
        <v>117.6</v>
      </c>
      <c r="G3" s="3" t="n">
        <v>1</v>
      </c>
      <c r="H3" s="3" t="n">
        <v>1</v>
      </c>
    </row>
    <row r="4">
      <c r="A4" s="2" t="n">
        <v>2</v>
      </c>
      <c r="B4" s="2" t="n">
        <v>0.5</v>
      </c>
      <c r="C4" s="2" t="n">
        <v>1.5</v>
      </c>
      <c r="D4" s="2" t="n">
        <v>202</v>
      </c>
      <c r="E4" s="2" t="n">
        <v>20.2</v>
      </c>
      <c r="F4" s="2" t="n">
        <v>176.4</v>
      </c>
      <c r="G4" s="2" t="n">
        <v>1.5</v>
      </c>
      <c r="H4" s="2" t="n">
        <v>1.5</v>
      </c>
    </row>
    <row r="5">
      <c r="A5" s="3" t="n">
        <v>2.5</v>
      </c>
      <c r="B5" s="3" t="n">
        <v>0.5</v>
      </c>
      <c r="C5" s="3" t="n">
        <v>2</v>
      </c>
      <c r="D5" s="3" t="n">
        <v>269.4</v>
      </c>
      <c r="E5" s="3" t="n">
        <v>26.94</v>
      </c>
      <c r="F5" s="3" t="n">
        <v>235.2</v>
      </c>
      <c r="G5" s="3" t="n">
        <v>2</v>
      </c>
      <c r="H5" s="3" t="n">
        <v>2</v>
      </c>
    </row>
    <row r="6">
      <c r="A6" s="2" t="n">
        <v>3</v>
      </c>
      <c r="B6" s="2" t="n">
        <v>0.5</v>
      </c>
      <c r="C6" s="2" t="n">
        <v>2.5</v>
      </c>
      <c r="D6" s="2" t="n">
        <v>336.7</v>
      </c>
      <c r="E6" s="2" t="n">
        <v>33.67</v>
      </c>
      <c r="F6" s="2" t="n">
        <v>294</v>
      </c>
      <c r="G6" s="2" t="n">
        <v>2.5</v>
      </c>
      <c r="H6" s="2" t="n">
        <v>2.5</v>
      </c>
    </row>
    <row r="7">
      <c r="A7" s="3" t="n">
        <v>3.5</v>
      </c>
      <c r="B7" s="3" t="n">
        <v>0.5</v>
      </c>
      <c r="C7" s="3" t="n">
        <v>3</v>
      </c>
      <c r="D7" s="3" t="n">
        <v>404</v>
      </c>
      <c r="E7" s="3" t="n">
        <v>40.4</v>
      </c>
      <c r="F7" s="3" t="n">
        <v>352.8</v>
      </c>
      <c r="G7" s="3" t="n">
        <v>3</v>
      </c>
      <c r="H7" s="3" t="n">
        <v>3</v>
      </c>
    </row>
    <row r="8">
      <c r="A8" s="2" t="n">
        <v>4</v>
      </c>
      <c r="B8" s="2" t="n">
        <v>0.5</v>
      </c>
      <c r="C8" s="2" t="n">
        <v>3.5</v>
      </c>
      <c r="D8" s="2" t="n">
        <v>471.4</v>
      </c>
      <c r="E8" s="2" t="n">
        <v>47.14</v>
      </c>
      <c r="F8" s="2" t="n">
        <v>411.6</v>
      </c>
      <c r="G8" s="2" t="n">
        <v>3.5</v>
      </c>
      <c r="H8" s="2" t="n">
        <v>3.5</v>
      </c>
    </row>
    <row r="9">
      <c r="A9" s="3" t="n">
        <v>4.5</v>
      </c>
      <c r="B9" s="3" t="n">
        <v>0.5</v>
      </c>
      <c r="C9" s="3" t="n">
        <v>4</v>
      </c>
      <c r="D9" s="3" t="n">
        <v>538.7</v>
      </c>
      <c r="E9" s="3" t="n">
        <v>53.87</v>
      </c>
      <c r="F9" s="3" t="n">
        <v>470.4</v>
      </c>
      <c r="G9" s="3" t="n">
        <v>4</v>
      </c>
      <c r="H9" s="3" t="n">
        <v>4</v>
      </c>
    </row>
    <row r="10">
      <c r="A10" s="2" t="n">
        <v>5</v>
      </c>
      <c r="B10" s="2" t="n">
        <v>0.5</v>
      </c>
      <c r="C10" s="2" t="n">
        <v>4.5</v>
      </c>
      <c r="D10" s="2" t="n">
        <v>606</v>
      </c>
      <c r="E10" s="2" t="n">
        <v>60.6</v>
      </c>
      <c r="F10" s="2" t="n">
        <v>529.2</v>
      </c>
      <c r="G10" s="2" t="n">
        <v>4.5</v>
      </c>
      <c r="H10" s="2" t="n">
        <v>4.5</v>
      </c>
    </row>
    <row r="11">
      <c r="A11" s="3" t="n">
        <v>5.5</v>
      </c>
      <c r="B11" s="3" t="n">
        <v>0.5</v>
      </c>
      <c r="C11" s="3" t="n">
        <v>5</v>
      </c>
      <c r="D11" s="3" t="n">
        <v>673.4</v>
      </c>
      <c r="E11" s="3" t="n">
        <v>67.34</v>
      </c>
      <c r="F11" s="3" t="n">
        <v>588</v>
      </c>
      <c r="G11" s="3" t="n">
        <v>5</v>
      </c>
      <c r="H11" s="3" t="n">
        <v>5</v>
      </c>
    </row>
    <row r="12">
      <c r="A12" s="2" t="n">
        <v>6</v>
      </c>
      <c r="B12" s="2" t="n">
        <v>0.5</v>
      </c>
      <c r="C12" s="2" t="n">
        <v>5.5</v>
      </c>
      <c r="D12" s="2" t="n">
        <v>740.7</v>
      </c>
      <c r="E12" s="2" t="n">
        <v>74.06999999999999</v>
      </c>
      <c r="F12" s="2" t="n">
        <v>646.8</v>
      </c>
      <c r="G12" s="2" t="n">
        <v>5.5</v>
      </c>
      <c r="H12" s="2" t="n">
        <v>5.5</v>
      </c>
    </row>
    <row r="13">
      <c r="A13" s="3" t="n">
        <v>6.5</v>
      </c>
      <c r="B13" s="3" t="n">
        <v>0.5</v>
      </c>
      <c r="C13" s="3" t="n">
        <v>6</v>
      </c>
      <c r="D13" s="3" t="n">
        <v>808.1</v>
      </c>
      <c r="E13" s="3" t="n">
        <v>80.81</v>
      </c>
      <c r="F13" s="3" t="n">
        <v>705.6</v>
      </c>
      <c r="G13" s="3" t="n">
        <v>6</v>
      </c>
      <c r="H13" s="3" t="n">
        <v>6</v>
      </c>
    </row>
    <row r="14">
      <c r="A14" s="2" t="n">
        <v>7</v>
      </c>
      <c r="B14" s="2" t="n">
        <v>0.5</v>
      </c>
      <c r="C14" s="2" t="n">
        <v>6.5</v>
      </c>
      <c r="D14" s="2" t="n">
        <v>875.4</v>
      </c>
      <c r="E14" s="2" t="n">
        <v>87.54000000000001</v>
      </c>
      <c r="F14" s="2" t="n">
        <v>764.4</v>
      </c>
      <c r="G14" s="2" t="n">
        <v>6.5</v>
      </c>
      <c r="H14" s="2" t="n">
        <v>6.5</v>
      </c>
    </row>
    <row r="15">
      <c r="A15" s="3" t="n">
        <v>7.5</v>
      </c>
      <c r="B15" s="3" t="n">
        <v>0.5</v>
      </c>
      <c r="C15" s="3" t="n">
        <v>7</v>
      </c>
      <c r="D15" s="3" t="n">
        <v>942.7</v>
      </c>
      <c r="E15" s="3" t="n">
        <v>94.27</v>
      </c>
      <c r="F15" s="3" t="n">
        <v>823.2</v>
      </c>
      <c r="G15" s="3" t="n">
        <v>7</v>
      </c>
      <c r="H15" s="3" t="n">
        <v>7</v>
      </c>
    </row>
    <row r="16">
      <c r="A16" s="2" t="n">
        <v>8</v>
      </c>
      <c r="B16" s="2" t="n">
        <v>0.5</v>
      </c>
      <c r="C16" s="2" t="n">
        <v>7.5</v>
      </c>
      <c r="D16" s="2" t="n">
        <v>1010.1</v>
      </c>
      <c r="E16" s="2" t="n">
        <v>101.01</v>
      </c>
      <c r="F16" s="2" t="n">
        <v>882</v>
      </c>
      <c r="G16" s="2" t="n">
        <v>7.5</v>
      </c>
      <c r="H16" s="2" t="n">
        <v>7.5</v>
      </c>
    </row>
    <row r="18">
      <c r="A18" s="4" t="inlineStr">
        <is>
          <t>Buffer of 0.5 mmol/L HCO3 is retained deliberately (WUR p.24): neutralising all of it drops irrigation pH below 5. 保留碳酸氢盐缓冲以将 pH 稳定在 5.5-6.0。</t>
        </is>
      </c>
    </row>
  </sheetData>
  <conditionalFormatting sqref="A2:A16">
    <cfRule type="cellIs" priority="1" operator="greaterThan" dxfId="0">
      <formula>4.0</formula>
    </cfRule>
  </conditionalFormatting>
  <conditionalFormatting sqref="D2:D16">
    <cfRule type="dataBar" priority="2">
      <dataBar>
        <cfvo type="min"/>
        <cfvo type="max"/>
        <color rgb="001B365D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0" customHeight="1">
      <c r="A1" s="1" t="inlineStr">
        <is>
          <t>Acid 酸</t>
        </is>
      </c>
      <c r="B1" s="1" t="inlineStr">
        <is>
          <t>Chinese 中文</t>
        </is>
      </c>
      <c r="C1" s="1" t="inlineStr">
        <is>
          <t>Density (kg/L) 密度</t>
        </is>
      </c>
      <c r="D1" s="1" t="inlineStr">
        <is>
          <t>g product / mol H+ 每摩尔质子克数</t>
        </is>
      </c>
      <c r="E1" s="1" t="inlineStr">
        <is>
          <t>Molarity (mol H+/L) 摩尔浓度</t>
        </is>
      </c>
      <c r="F1" s="1" t="inlineStr">
        <is>
          <t>Anion per mol H+ 伴随阴离子</t>
        </is>
      </c>
      <c r="G1" s="1" t="inlineStr">
        <is>
          <t>mL per (1 mmol/L x m3) 单位用量</t>
        </is>
      </c>
    </row>
    <row r="2">
      <c r="A2" s="2" t="inlineStr">
        <is>
          <t>Nitric acid 38%</t>
        </is>
      </c>
      <c r="B2" s="2" t="inlineStr">
        <is>
          <t>硝酸 38%</t>
        </is>
      </c>
      <c r="C2" s="2" t="n">
        <v>1.24</v>
      </c>
      <c r="D2" s="2" t="n">
        <v>167</v>
      </c>
      <c r="E2" s="2" t="n">
        <v>7.4251</v>
      </c>
      <c r="F2" s="2" t="inlineStr">
        <is>
          <t>NO3-</t>
        </is>
      </c>
      <c r="G2" s="2" t="n">
        <v>134.677</v>
      </c>
    </row>
    <row r="3">
      <c r="A3" s="3" t="inlineStr">
        <is>
          <t>Nitric acid 60%</t>
        </is>
      </c>
      <c r="B3" s="3" t="inlineStr">
        <is>
          <t>硝酸 60%</t>
        </is>
      </c>
      <c r="C3" s="3" t="n">
        <v>1.37</v>
      </c>
      <c r="D3" s="3" t="n">
        <v>105</v>
      </c>
      <c r="E3" s="3" t="n">
        <v>13.0476</v>
      </c>
      <c r="F3" s="3" t="inlineStr">
        <is>
          <t>NO3-</t>
        </is>
      </c>
      <c r="G3" s="3" t="n">
        <v>76.642</v>
      </c>
    </row>
    <row r="4">
      <c r="A4" s="2" t="inlineStr">
        <is>
          <t>Phosphoric acid 59%</t>
        </is>
      </c>
      <c r="B4" s="2" t="inlineStr">
        <is>
          <t>磷酸 59%</t>
        </is>
      </c>
      <c r="C4" s="2" t="n">
        <v>1.42</v>
      </c>
      <c r="D4" s="2" t="n">
        <v>167</v>
      </c>
      <c r="E4" s="2" t="n">
        <v>8.503</v>
      </c>
      <c r="F4" s="2" t="inlineStr">
        <is>
          <t>H2PO4-</t>
        </is>
      </c>
      <c r="G4" s="2" t="n">
        <v>117.606</v>
      </c>
    </row>
    <row r="6">
      <c r="A6" s="4" t="inlineStr">
        <is>
          <t>DIV-1: the export brief specifies 65% HNO3 / 85% H3PO4; WUR Table 5 (p.26) publishes 38% and 60% nitric and 59% phosphoric. Catalogue grades are shown. 说明书与手册不一致，此处采用手册数值。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2026-08-21T17:14:58Z</dcterms:created>
  <dcterms:modified xsi:type="dcterms:W3CDTF">2026-08-21T17:14:58Z</dcterms:modified>
</cp:coreProperties>
</file>