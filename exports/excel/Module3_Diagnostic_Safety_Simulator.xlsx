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 Evaluator" sheetId="1" state="visible" r:id="rId1"/>
    <sheet name="Safety Gate 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Measured vs target root-zone concentration (mmol/L)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 Evaluator'!B1</f>
            </strRef>
          </tx>
          <spPr>
            <a:ln>
              <a:prstDash val="solid"/>
            </a:ln>
          </spPr>
          <cat>
            <numRef>
              <f>'Diagnostic Evaluator'!$A$2:$A$11</f>
            </numRef>
          </cat>
          <val>
            <numRef>
              <f>'Diagnostic Evaluator'!$B$2:$B$11</f>
            </numRef>
          </val>
        </ser>
        <ser>
          <idx val="1"/>
          <order val="1"/>
          <tx>
            <strRef>
              <f>'Diagnostic Evaluator'!C1</f>
            </strRef>
          </tx>
          <spPr>
            <a:ln>
              <a:prstDash val="solid"/>
            </a:ln>
          </spPr>
          <cat>
            <numRef>
              <f>'Diagnostic Evaluator'!$A$2:$A$11</f>
            </numRef>
          </cat>
          <val>
            <numRef>
              <f>'Diagnostic Evaluator'!$C$2:$C$11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0" customHeight="1">
      <c r="A1" s="1" t="inlineStr">
        <is>
          <t>Ion 离子</t>
        </is>
      </c>
      <c r="B1" s="1" t="inlineStr">
        <is>
          <t>Measured (mmol/L) 实测</t>
        </is>
      </c>
      <c r="C1" s="1" t="inlineStr">
        <is>
          <t>Target (mmol/L) 目标</t>
        </is>
      </c>
      <c r="D1" s="1" t="inlineStr">
        <is>
          <t>Deviation % 偏差</t>
        </is>
      </c>
      <c r="E1" s="1" t="inlineStr">
        <is>
          <t>Charge 电荷</t>
        </is>
      </c>
      <c r="F1" s="1" t="inlineStr">
        <is>
          <t>mmol_c/L 当量</t>
        </is>
      </c>
      <c r="G1" s="1" t="inlineStr">
        <is>
          <t>Side 侧</t>
        </is>
      </c>
    </row>
    <row r="2">
      <c r="A2" s="2" t="inlineStr">
        <is>
          <t>NH4</t>
        </is>
      </c>
      <c r="B2" s="2" t="n">
        <v>0.1</v>
      </c>
      <c r="C2" s="2" t="n">
        <v>0.5</v>
      </c>
      <c r="D2" s="2" t="n">
        <v>-80</v>
      </c>
      <c r="E2" s="2" t="n">
        <v>1</v>
      </c>
      <c r="F2" s="2" t="n">
        <v>0.1</v>
      </c>
      <c r="G2" s="2" t="inlineStr">
        <is>
          <t>cation</t>
        </is>
      </c>
    </row>
    <row r="3">
      <c r="A3" s="3" t="inlineStr">
        <is>
          <t>K</t>
        </is>
      </c>
      <c r="B3" s="3" t="n">
        <v>7.2</v>
      </c>
      <c r="C3" s="3" t="n">
        <v>8</v>
      </c>
      <c r="D3" s="3" t="n">
        <v>-10</v>
      </c>
      <c r="E3" s="3" t="n">
        <v>1</v>
      </c>
      <c r="F3" s="3" t="n">
        <v>7.2</v>
      </c>
      <c r="G3" s="3" t="inlineStr">
        <is>
          <t>cation</t>
        </is>
      </c>
    </row>
    <row r="4">
      <c r="A4" s="2" t="inlineStr">
        <is>
          <t>Na</t>
        </is>
      </c>
      <c r="B4" s="2" t="n">
        <v>2.7</v>
      </c>
      <c r="C4" s="2" t="inlineStr"/>
      <c r="D4" s="2" t="inlineStr"/>
      <c r="E4" s="2" t="n">
        <v>1</v>
      </c>
      <c r="F4" s="2" t="n">
        <v>2.7</v>
      </c>
      <c r="G4" s="2" t="inlineStr">
        <is>
          <t>cation</t>
        </is>
      </c>
    </row>
    <row r="5">
      <c r="A5" s="3" t="inlineStr">
        <is>
          <t>Ca</t>
        </is>
      </c>
      <c r="B5" s="3" t="n">
        <v>11.4</v>
      </c>
      <c r="C5" s="3" t="n">
        <v>10</v>
      </c>
      <c r="D5" s="3" t="n">
        <v>14</v>
      </c>
      <c r="E5" s="3" t="n">
        <v>2</v>
      </c>
      <c r="F5" s="3" t="n">
        <v>22.8</v>
      </c>
      <c r="G5" s="3" t="inlineStr">
        <is>
          <t>cation</t>
        </is>
      </c>
    </row>
    <row r="6">
      <c r="A6" s="2" t="inlineStr">
        <is>
          <t>Mg</t>
        </is>
      </c>
      <c r="B6" s="2" t="n">
        <v>6</v>
      </c>
      <c r="C6" s="2" t="n">
        <v>4.5</v>
      </c>
      <c r="D6" s="2" t="n">
        <v>33.3</v>
      </c>
      <c r="E6" s="2" t="n">
        <v>2</v>
      </c>
      <c r="F6" s="2" t="n">
        <v>12</v>
      </c>
      <c r="G6" s="2" t="inlineStr">
        <is>
          <t>cation</t>
        </is>
      </c>
    </row>
    <row r="7">
      <c r="A7" s="3" t="inlineStr">
        <is>
          <t>NO3</t>
        </is>
      </c>
      <c r="B7" s="3" t="n">
        <v>22.1</v>
      </c>
      <c r="C7" s="3" t="n">
        <v>22</v>
      </c>
      <c r="D7" s="3" t="n">
        <v>0.5</v>
      </c>
      <c r="E7" s="3" t="n">
        <v>1</v>
      </c>
      <c r="F7" s="3" t="n">
        <v>22.1</v>
      </c>
      <c r="G7" s="3" t="inlineStr">
        <is>
          <t>anion</t>
        </is>
      </c>
    </row>
    <row r="8">
      <c r="A8" s="2" t="inlineStr">
        <is>
          <t>Cl</t>
        </is>
      </c>
      <c r="B8" s="2" t="n">
        <v>2.8</v>
      </c>
      <c r="C8" s="2" t="n">
        <v>8</v>
      </c>
      <c r="D8" s="2" t="n">
        <v>-65</v>
      </c>
      <c r="E8" s="2" t="n">
        <v>1</v>
      </c>
      <c r="F8" s="2" t="n">
        <v>2.8</v>
      </c>
      <c r="G8" s="2" t="inlineStr">
        <is>
          <t>anion</t>
        </is>
      </c>
    </row>
    <row r="9">
      <c r="A9" s="3" t="inlineStr">
        <is>
          <t>S</t>
        </is>
      </c>
      <c r="B9" s="3" t="n">
        <v>7.9</v>
      </c>
      <c r="C9" s="3" t="n">
        <v>6.8</v>
      </c>
      <c r="D9" s="3" t="n">
        <v>16.2</v>
      </c>
      <c r="E9" s="3" t="n">
        <v>2</v>
      </c>
      <c r="F9" s="3" t="n">
        <v>15.8</v>
      </c>
      <c r="G9" s="3" t="inlineStr">
        <is>
          <t>anion</t>
        </is>
      </c>
    </row>
    <row r="10">
      <c r="A10" s="2" t="inlineStr">
        <is>
          <t>P</t>
        </is>
      </c>
      <c r="B10" s="2" t="n">
        <v>2.8</v>
      </c>
      <c r="C10" s="2" t="n">
        <v>1</v>
      </c>
      <c r="D10" s="2" t="n">
        <v>180</v>
      </c>
      <c r="E10" s="2" t="n">
        <v>1</v>
      </c>
      <c r="F10" s="2" t="n">
        <v>2.8</v>
      </c>
      <c r="G10" s="2" t="inlineStr">
        <is>
          <t>anion</t>
        </is>
      </c>
    </row>
    <row r="11">
      <c r="A11" s="3" t="inlineStr">
        <is>
          <t>HCO3</t>
        </is>
      </c>
      <c r="B11" s="3" t="n">
        <v>0.4</v>
      </c>
      <c r="C11" s="3" t="inlineStr"/>
      <c r="D11" s="3" t="inlineStr"/>
      <c r="E11" s="3" t="n">
        <v>1</v>
      </c>
      <c r="F11" s="3" t="n">
        <v>0.4</v>
      </c>
      <c r="G11" s="3" t="inlineStr">
        <is>
          <t>anion</t>
        </is>
      </c>
    </row>
    <row r="12">
      <c r="A12" s="2" t="inlineStr">
        <is>
          <t>-- Eq cations --</t>
        </is>
      </c>
      <c r="B12" s="2" t="inlineStr"/>
      <c r="C12" s="2" t="inlineStr"/>
      <c r="D12" s="2" t="inlineStr"/>
      <c r="E12" s="2" t="inlineStr"/>
      <c r="F12" s="2" t="n">
        <v>44.8</v>
      </c>
      <c r="G12" s="2" t="inlineStr"/>
    </row>
    <row r="13">
      <c r="A13" s="3" t="inlineStr">
        <is>
          <t>-- Eq anions --</t>
        </is>
      </c>
      <c r="B13" s="3" t="inlineStr"/>
      <c r="C13" s="3" t="inlineStr"/>
      <c r="D13" s="3" t="inlineStr"/>
      <c r="E13" s="3" t="inlineStr"/>
      <c r="F13" s="3" t="n">
        <v>43.9</v>
      </c>
      <c r="G13" s="3" t="inlineStr"/>
    </row>
    <row r="14">
      <c r="A14" s="2" t="inlineStr">
        <is>
          <t>-- Charge error % --</t>
        </is>
      </c>
      <c r="B14" s="2" t="inlineStr"/>
      <c r="C14" s="2" t="inlineStr"/>
      <c r="D14" s="2" t="inlineStr"/>
      <c r="E14" s="2" t="inlineStr"/>
      <c r="F14" s="2" t="n">
        <v>2.01</v>
      </c>
      <c r="G14" s="2" t="inlineStr"/>
    </row>
    <row r="15">
      <c r="A15" s="3" t="inlineStr">
        <is>
          <t>-- Estimated EC --</t>
        </is>
      </c>
      <c r="B15" s="3" t="inlineStr"/>
      <c r="C15" s="3" t="inlineStr"/>
      <c r="D15" s="3" t="inlineStr"/>
      <c r="E15" s="3" t="inlineStr"/>
      <c r="F15" s="3" t="n">
        <v>4.435</v>
      </c>
      <c r="G15" s="3" t="inlineStr"/>
    </row>
    <row r="17">
      <c r="A17" s="4" t="inlineStr">
        <is>
          <t>Charge balance includes H+ from acid dosing (DIV-4). Sample is the Eurofins Optifeed analysis reproduced on WUR p.29. 电荷平衡含加酸带入的 H+。</t>
        </is>
      </c>
    </row>
  </sheetData>
  <conditionalFormatting sqref="D2:D15">
    <cfRule type="cellIs" priority="1" operator="greaterThan" dxfId="0">
      <formula>50</formula>
    </cfRule>
    <cfRule type="cellIs" priority="2" operator="lessThan" dxfId="0">
      <formula>-50</formula>
    </cfRule>
    <cfRule type="cellIs" priority="3" operator="between" dxfId="1">
      <formula>25</formula>
      <formula>50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0" customHeight="1">
      <c r="A1" s="1" t="inlineStr">
        <is>
          <t>Gate ID 闸门</t>
        </is>
      </c>
      <c r="B1" s="1" t="inlineStr">
        <is>
          <t>Severity 级别</t>
        </is>
      </c>
      <c r="C1" s="1" t="inlineStr">
        <is>
          <t>Module 模块</t>
        </is>
      </c>
      <c r="D1" s="1" t="inlineStr">
        <is>
          <t>Condition 触发条件</t>
        </is>
      </c>
      <c r="E1" s="1" t="inlineStr">
        <is>
          <t>Action 处置</t>
        </is>
      </c>
      <c r="F1" s="1" t="inlineStr">
        <is>
          <t>Provenance 来源</t>
        </is>
      </c>
    </row>
    <row r="2">
      <c r="A2" s="2" t="inlineStr">
        <is>
          <t>G-MELTDOWN</t>
        </is>
      </c>
      <c r="B2" s="2" t="inlineStr">
        <is>
          <t>BLOCKING</t>
        </is>
      </c>
      <c r="C2" s="2" t="inlineStr">
        <is>
          <t>M8</t>
        </is>
      </c>
      <c r="D2" s="2" t="inlineStr">
        <is>
          <t>pH &lt; 5.2 or EC &gt; 4.5 mS/cm</t>
        </is>
      </c>
      <c r="E2" s="2" t="inlineStr">
        <is>
          <t>Emergency flush; recipe output suppressed; LLM layer bypassed</t>
        </is>
      </c>
      <c r="F2" s="2" t="inlineStr">
        <is>
          <t>SRC:PRACTICE thresholds</t>
        </is>
      </c>
    </row>
    <row r="3">
      <c r="A3" s="3" t="inlineStr">
        <is>
          <t>G-PRECIP-RISK</t>
        </is>
      </c>
      <c r="B3" s="3" t="inlineStr">
        <is>
          <t>BLOCKING</t>
        </is>
      </c>
      <c r="C3" s="3" t="inlineStr">
        <is>
          <t>M6</t>
        </is>
      </c>
      <c r="D3" s="3" t="inlineStr">
        <is>
          <t>Ca together with SO4 or PO4 in one tank</t>
        </is>
      </c>
      <c r="E3" s="3" t="inlineStr">
        <is>
          <t>Tank bill refused outright - CaSO4 / Ca3(PO4)2 precipitation</t>
        </is>
      </c>
      <c r="F3" s="3" t="inlineStr">
        <is>
          <t>SRC:WUR p.31</t>
        </is>
      </c>
    </row>
    <row r="4">
      <c r="A4" s="2" t="inlineStr">
        <is>
          <t>G-ACID-INFEASIBLE</t>
        </is>
      </c>
      <c r="B4" s="2" t="inlineStr">
        <is>
          <t>CRITICAL</t>
        </is>
      </c>
      <c r="C4" s="2" t="inlineStr">
        <is>
          <t>M1</t>
        </is>
      </c>
      <c r="D4" s="2" t="inlineStr">
        <is>
          <t>H+ demand exceeds NO3+P headroom</t>
        </is>
      </c>
      <c r="E4" s="2" t="inlineStr">
        <is>
          <t>Dilute water, or shift pH control to ammonium</t>
        </is>
      </c>
      <c r="F4" s="2" t="inlineStr">
        <is>
          <t>SRC:WUR p.13</t>
        </is>
      </c>
    </row>
    <row r="5">
      <c r="A5" s="3" t="inlineStr">
        <is>
          <t>G-NA-EXCEED</t>
        </is>
      </c>
      <c r="B5" s="3" t="inlineStr">
        <is>
          <t>CRITICAL</t>
        </is>
      </c>
      <c r="C5" s="3" t="inlineStr">
        <is>
          <t>M2</t>
        </is>
      </c>
      <c r="D5" s="3" t="inlineStr">
        <is>
          <t>Root-zone Na above crop ceiling</t>
        </is>
      </c>
      <c r="E5" s="3" t="inlineStr">
        <is>
          <t>Forced discharge volume issued</t>
        </is>
      </c>
      <c r="F5" s="3" t="inlineStr">
        <is>
          <t>SRC:WUR Table 2 p.12</t>
        </is>
      </c>
    </row>
    <row r="6">
      <c r="A6" s="2" t="inlineStr">
        <is>
          <t>G-NA-UNREACHABLE</t>
        </is>
      </c>
      <c r="B6" s="2" t="inlineStr">
        <is>
          <t>CRITICAL</t>
        </is>
      </c>
      <c r="C6" s="2" t="inlineStr">
        <is>
          <t>M2</t>
        </is>
      </c>
      <c r="D6" s="2" t="inlineStr">
        <is>
          <t>Base water Na &gt;= flush target</t>
        </is>
      </c>
      <c r="E6" s="2" t="inlineStr">
        <is>
          <t>Flushing cannot help; alternative water source required</t>
        </is>
      </c>
      <c r="F6" s="2" t="inlineStr">
        <is>
          <t>SRC:DERIVED</t>
        </is>
      </c>
    </row>
    <row r="7">
      <c r="A7" s="3" t="inlineStr">
        <is>
          <t>G-NA-APPROACH</t>
        </is>
      </c>
      <c r="B7" s="3" t="inlineStr">
        <is>
          <t>WARNING</t>
        </is>
      </c>
      <c r="C7" s="3" t="inlineStr">
        <is>
          <t>M2</t>
        </is>
      </c>
      <c r="D7" s="3" t="inlineStr">
        <is>
          <t>Na &gt;= 80% of ceiling</t>
        </is>
      </c>
      <c r="E7" s="3" t="inlineStr">
        <is>
          <t>Increase monitoring, plan a discharge window</t>
        </is>
      </c>
      <c r="F7" s="3" t="inlineStr">
        <is>
          <t>SRC:PRACTICE</t>
        </is>
      </c>
    </row>
    <row r="8">
      <c r="A8" s="2" t="inlineStr">
        <is>
          <t>G-WASH-TRIGGER</t>
        </is>
      </c>
      <c r="B8" s="2" t="inlineStr">
        <is>
          <t>CRITICAL</t>
        </is>
      </c>
      <c r="C8" s="2" t="inlineStr">
        <is>
          <t>M4</t>
        </is>
      </c>
      <c r="D8" s="2" t="inlineStr">
        <is>
          <t>Drain-dripper EC gap &gt;= 2.0 mS/cm</t>
        </is>
      </c>
      <c r="E8" s="2" t="inlineStr">
        <is>
          <t>Raise leaching fraction; extra irrigation volume issued</t>
        </is>
      </c>
      <c r="F8" s="2" t="inlineStr">
        <is>
          <t>SRC:PRACTICE</t>
        </is>
      </c>
    </row>
    <row r="9">
      <c r="A9" s="3" t="inlineStr">
        <is>
          <t>G-WASH-ANOMALY</t>
        </is>
      </c>
      <c r="B9" s="3" t="inlineStr">
        <is>
          <t>CRITICAL</t>
        </is>
      </c>
      <c r="C9" s="3" t="inlineStr">
        <is>
          <t>M4</t>
        </is>
      </c>
      <c r="D9" s="3" t="inlineStr">
        <is>
          <t>EC gap &gt;= 2.0 while LF &gt;= 40%</t>
        </is>
      </c>
      <c r="E9" s="3" t="inlineStr">
        <is>
          <t>DO NOT add volume; investigate channeling / EC calibration</t>
        </is>
      </c>
      <c r="F9" s="3" t="inlineStr">
        <is>
          <t>SRC:PRACTICE</t>
        </is>
      </c>
    </row>
    <row r="10">
      <c r="A10" s="2" t="inlineStr">
        <is>
          <t>G-NH4-CEILING</t>
        </is>
      </c>
      <c r="B10" s="2" t="inlineStr">
        <is>
          <t>CRITICAL</t>
        </is>
      </c>
      <c r="C10" s="2" t="inlineStr">
        <is>
          <t>M5</t>
        </is>
      </c>
      <c r="D10" s="2" t="inlineStr">
        <is>
          <t>NH4 &gt; 1.5 mmol/L in the dosed recipe</t>
        </is>
      </c>
      <c r="E10" s="2" t="inlineStr">
        <is>
          <t>Reduce ammonium; pH will drop too far</t>
        </is>
      </c>
      <c r="F10" s="2" t="inlineStr">
        <is>
          <t>SRC:WUR p.15</t>
        </is>
      </c>
    </row>
    <row r="11">
      <c r="A11" s="3" t="inlineStr">
        <is>
          <t>G-WATER-RECIRC</t>
        </is>
      </c>
      <c r="B11" s="3" t="inlineStr">
        <is>
          <t>CRITICAL</t>
        </is>
      </c>
      <c r="C11" s="3" t="inlineStr">
        <is>
          <t>M1</t>
        </is>
      </c>
      <c r="D11" s="3" t="inlineStr">
        <is>
          <t>Quality level &gt;= 2 with recirculation</t>
        </is>
      </c>
      <c r="E11" s="3" t="inlineStr">
        <is>
          <t>Level 2 water unsuitable when recirculating</t>
        </is>
      </c>
      <c r="F11" s="3" t="inlineStr">
        <is>
          <t>SRC:WUR p.11</t>
        </is>
      </c>
    </row>
    <row r="12">
      <c r="A12" s="2" t="inlineStr">
        <is>
          <t>G-WATER-SALT-SENSITIVE</t>
        </is>
      </c>
      <c r="B12" s="2" t="inlineStr">
        <is>
          <t>CRITICAL</t>
        </is>
      </c>
      <c r="C12" s="2" t="inlineStr">
        <is>
          <t>M1</t>
        </is>
      </c>
      <c r="D12" s="2" t="inlineStr">
        <is>
          <t>Level 3 water, Na ceiling &lt;= 4</t>
        </is>
      </c>
      <c r="E12" s="2" t="inlineStr">
        <is>
          <t>Not for salt-sensitive crops</t>
        </is>
      </c>
      <c r="F12" s="2" t="inlineStr">
        <is>
          <t>SRC:WUR p.11</t>
        </is>
      </c>
    </row>
    <row r="13">
      <c r="A13" s="3" t="inlineStr">
        <is>
          <t>G-WATER-UNCLASSIFIED</t>
        </is>
      </c>
      <c r="B13" s="3" t="inlineStr">
        <is>
          <t>CRITICAL</t>
        </is>
      </c>
      <c r="C13" s="3" t="inlineStr">
        <is>
          <t>M1</t>
        </is>
      </c>
      <c r="D13" s="3" t="inlineStr">
        <is>
          <t>Beyond Table 1 level 3</t>
        </is>
      </c>
      <c r="E13" s="3" t="inlineStr">
        <is>
          <t>Reverse osmosis or alternative source</t>
        </is>
      </c>
      <c r="F13" s="3" t="inlineStr">
        <is>
          <t>SRC:WUR p.11</t>
        </is>
      </c>
    </row>
    <row r="14">
      <c r="A14" s="2" t="inlineStr">
        <is>
          <t>G-FE-DRIP</t>
        </is>
      </c>
      <c r="B14" s="2" t="inlineStr">
        <is>
          <t>CRITICAL</t>
        </is>
      </c>
      <c r="C14" s="2" t="inlineStr">
        <is>
          <t>M1</t>
        </is>
      </c>
      <c r="D14" s="2" t="inlineStr">
        <is>
          <t>Base-water Fe &gt; 0 on drip irrigation</t>
        </is>
      </c>
      <c r="E14" s="2" t="inlineStr">
        <is>
          <t>Aerate and filter before the fertigation unit</t>
        </is>
      </c>
      <c r="F14" s="2" t="inlineStr">
        <is>
          <t>SRC:WUR p.14</t>
        </is>
      </c>
    </row>
    <row r="15">
      <c r="A15" s="3" t="inlineStr">
        <is>
          <t>G-TANK-A-ACID</t>
        </is>
      </c>
      <c r="B15" s="3" t="inlineStr">
        <is>
          <t>CRITICAL</t>
        </is>
      </c>
      <c r="C15" s="3" t="inlineStr">
        <is>
          <t>M6</t>
        </is>
      </c>
      <c r="D15" s="3" t="inlineStr">
        <is>
          <t>Tank A acid above cap with chelates</t>
        </is>
      </c>
      <c r="E15" s="3" t="inlineStr">
        <is>
          <t>Chelates break down below pH 3.5</t>
        </is>
      </c>
      <c r="F15" s="3" t="inlineStr">
        <is>
          <t>SRC:WUR p.31</t>
        </is>
      </c>
    </row>
    <row r="16">
      <c r="A16" s="2" t="inlineStr">
        <is>
          <t>G-ION-IMBALANCE</t>
        </is>
      </c>
      <c r="B16" s="2" t="inlineStr">
        <is>
          <t>WARNING</t>
        </is>
      </c>
      <c r="C16" s="2" t="inlineStr">
        <is>
          <t>M7</t>
        </is>
      </c>
      <c r="D16" s="2" t="inlineStr">
        <is>
          <t>Cation/anion difference &gt; 10%</t>
        </is>
      </c>
      <c r="E16" s="2" t="inlineStr">
        <is>
          <t>Counter-ion adjustment needed before filling tanks</t>
        </is>
      </c>
      <c r="F16" s="2" t="inlineStr">
        <is>
          <t>SRC:WUR p.21</t>
        </is>
      </c>
    </row>
    <row r="17">
      <c r="A17" s="3" t="inlineStr">
        <is>
          <t>G-ALLOCATION-RESIDUAL</t>
        </is>
      </c>
      <c r="B17" s="3" t="inlineStr">
        <is>
          <t>WARNING</t>
        </is>
      </c>
      <c r="C17" s="3" t="inlineStr">
        <is>
          <t>M7</t>
        </is>
      </c>
      <c r="D17" s="3" t="inlineStr">
        <is>
          <t>Allocation cannot hit all targets</t>
        </is>
      </c>
      <c r="E17" s="3" t="inlineStr">
        <is>
          <t>Usually nitrate over-supply from acid + calcium nitrate</t>
        </is>
      </c>
      <c r="F17" s="3" t="inlineStr">
        <is>
          <t>SRC:DERIVED</t>
        </is>
      </c>
    </row>
    <row r="18">
      <c r="A18" s="2" t="inlineStr">
        <is>
          <t>G-WATER-EXCESS</t>
        </is>
      </c>
      <c r="B18" s="2" t="inlineStr">
        <is>
          <t>WARNING</t>
        </is>
      </c>
      <c r="C18" s="2" t="inlineStr">
        <is>
          <t>M7</t>
        </is>
      </c>
      <c r="D18" s="2" t="inlineStr">
        <is>
          <t>Base water above recipe target for an ion</t>
        </is>
      </c>
      <c r="E18" s="2" t="inlineStr">
        <is>
          <t>Cannot be un-supplied; dilute or accept</t>
        </is>
      </c>
      <c r="F18" s="2" t="inlineStr">
        <is>
          <t>SRC:DERIVED</t>
        </is>
      </c>
    </row>
    <row r="19">
      <c r="A19" s="3" t="inlineStr">
        <is>
          <t>G-LF-DEFICIT</t>
        </is>
      </c>
      <c r="B19" s="3" t="inlineStr">
        <is>
          <t>WARNING</t>
        </is>
      </c>
      <c r="C19" s="3" t="inlineStr">
        <is>
          <t>M4</t>
        </is>
      </c>
      <c r="D19" s="3" t="inlineStr">
        <is>
          <t>Leaching fraction &lt; 10%</t>
        </is>
      </c>
      <c r="E19" s="3" t="inlineStr">
        <is>
          <t>Under-irrigation; salt accumulation risk</t>
        </is>
      </c>
      <c r="F19" s="3" t="inlineStr">
        <is>
          <t>SRC:PRACTICE</t>
        </is>
      </c>
    </row>
    <row r="20">
      <c r="A20" s="2" t="inlineStr">
        <is>
          <t>G-LF-EXCESS</t>
        </is>
      </c>
      <c r="B20" s="2" t="inlineStr">
        <is>
          <t>WARNING</t>
        </is>
      </c>
      <c r="C20" s="2" t="inlineStr">
        <is>
          <t>M4</t>
        </is>
      </c>
      <c r="D20" s="2" t="inlineStr">
        <is>
          <t>Leaching fraction &gt; 40%</t>
        </is>
      </c>
      <c r="E20" s="2" t="inlineStr">
        <is>
          <t>Water and nutrient waste; check emitter uniformity</t>
        </is>
      </c>
      <c r="F20" s="2" t="inlineStr">
        <is>
          <t>SRC:PRACTICE</t>
        </is>
      </c>
    </row>
    <row r="21">
      <c r="A21" s="3" t="inlineStr">
        <is>
          <t>G-NH4-SHARE</t>
        </is>
      </c>
      <c r="B21" s="3" t="inlineStr">
        <is>
          <t>WARNING</t>
        </is>
      </c>
      <c r="C21" s="3" t="inlineStr">
        <is>
          <t>M5</t>
        </is>
      </c>
      <c r="D21" s="3" t="inlineStr">
        <is>
          <t>NH4 &gt; 15% of total N</t>
        </is>
      </c>
      <c r="E21" s="3" t="inlineStr">
        <is>
          <t>Hydroponic proportion should stay 5-15%</t>
        </is>
      </c>
      <c r="F21" s="3" t="inlineStr">
        <is>
          <t>SRC:WUR p.15</t>
        </is>
      </c>
    </row>
    <row r="22">
      <c r="A22" s="2" t="inlineStr">
        <is>
          <t>G-CHELATE-DISINFECT</t>
        </is>
      </c>
      <c r="B22" s="2" t="inlineStr">
        <is>
          <t>WARNING</t>
        </is>
      </c>
      <c r="C22" s="2" t="inlineStr">
        <is>
          <t>M6</t>
        </is>
      </c>
      <c r="D22" s="2" t="inlineStr">
        <is>
          <t>UV / ozone / H2O2 disinfection</t>
        </is>
      </c>
      <c r="E22" s="2" t="inlineStr">
        <is>
          <t>Re-dose chelates AFTER disinfection</t>
        </is>
      </c>
      <c r="F22" s="2" t="inlineStr">
        <is>
          <t>SRC:WUR p.36</t>
        </is>
      </c>
    </row>
    <row r="23">
      <c r="A23" s="3" t="inlineStr">
        <is>
          <t>G-CHELATE-SODIUM</t>
        </is>
      </c>
      <c r="B23" s="3" t="inlineStr">
        <is>
          <t>WARNING</t>
        </is>
      </c>
      <c r="C23" s="3" t="inlineStr">
        <is>
          <t>M6</t>
        </is>
      </c>
      <c r="D23" s="3" t="inlineStr">
        <is>
          <t>Recirculating system</t>
        </is>
      </c>
      <c r="E23" s="3" t="inlineStr">
        <is>
          <t>Use Na-free K-based chelates and boric acid</t>
        </is>
      </c>
      <c r="F23" s="3" t="inlineStr">
        <is>
          <t>SRC:WUR p.24, p.36</t>
        </is>
      </c>
    </row>
    <row r="24">
      <c r="A24" s="2" t="inlineStr">
        <is>
          <t>G-FE-EXCHANGE-LOSS</t>
        </is>
      </c>
      <c r="B24" s="2" t="inlineStr">
        <is>
          <t>WARNING</t>
        </is>
      </c>
      <c r="C24" s="2" t="inlineStr">
        <is>
          <t>M6</t>
        </is>
      </c>
      <c r="D24" s="2" t="inlineStr">
        <is>
          <t>Mn/Zn/Cu supplied as sulphates</t>
        </is>
      </c>
      <c r="E24" s="2" t="inlineStr">
        <is>
          <t>20-50% Fe loss by chelate exchange</t>
        </is>
      </c>
      <c r="F24" s="2" t="inlineStr">
        <is>
          <t>SRC:WUR p.36</t>
        </is>
      </c>
    </row>
    <row r="25">
      <c r="A25" s="3" t="inlineStr">
        <is>
          <t>G-DRYBACK-NA</t>
        </is>
      </c>
      <c r="B25" s="3" t="inlineStr">
        <is>
          <t>WARNING</t>
        </is>
      </c>
      <c r="C25" s="3" t="inlineStr">
        <is>
          <t>M5</t>
        </is>
      </c>
      <c r="D25" s="3" t="inlineStr">
        <is>
          <t>Generative dry-back with Na &gt;= 80% ceiling</t>
        </is>
      </c>
      <c r="E25" s="3" t="inlineStr">
        <is>
          <t>Dry-back concentrates sodium; intent downgraded</t>
        </is>
      </c>
      <c r="F25" s="3" t="inlineStr">
        <is>
          <t>SRC:PRACTICE</t>
        </is>
      </c>
    </row>
    <row r="26">
      <c r="A26" s="2" t="inlineStr">
        <is>
          <t>G-B-HIGH</t>
        </is>
      </c>
      <c r="B26" s="2" t="inlineStr">
        <is>
          <t>WARNING</t>
        </is>
      </c>
      <c r="C26" s="2" t="inlineStr">
        <is>
          <t>M1</t>
        </is>
      </c>
      <c r="D26" s="2" t="inlineStr">
        <is>
          <t>Base-water B &gt; 30 umol/L</t>
        </is>
      </c>
      <c r="E26" s="2" t="inlineStr">
        <is>
          <t>Above tolerable upper limit</t>
        </is>
      </c>
      <c r="F26" s="2" t="inlineStr">
        <is>
          <t>SRC:WUR p.14</t>
        </is>
      </c>
    </row>
    <row r="27">
      <c r="A27" s="3" t="inlineStr">
        <is>
          <t>G-MN-HIGH</t>
        </is>
      </c>
      <c r="B27" s="3" t="inlineStr">
        <is>
          <t>WARNING</t>
        </is>
      </c>
      <c r="C27" s="3" t="inlineStr">
        <is>
          <t>M1</t>
        </is>
      </c>
      <c r="D27" s="3" t="inlineStr">
        <is>
          <t>Base-water Mn &gt;= 10 umol/L</t>
        </is>
      </c>
      <c r="E27" s="3" t="inlineStr">
        <is>
          <t>Above advised level</t>
        </is>
      </c>
      <c r="F27" s="3" t="inlineStr">
        <is>
          <t>SRC:WUR p.14</t>
        </is>
      </c>
    </row>
    <row r="28">
      <c r="A28" s="2" t="inlineStr">
        <is>
          <t>G-FE-SPRINKLER</t>
        </is>
      </c>
      <c r="B28" s="2" t="inlineStr">
        <is>
          <t>WARNING</t>
        </is>
      </c>
      <c r="C28" s="2" t="inlineStr">
        <is>
          <t>M1</t>
        </is>
      </c>
      <c r="D28" s="2" t="inlineStr">
        <is>
          <t>Sprinkler Fe &gt; 100 umol/L</t>
        </is>
      </c>
      <c r="E28" s="2" t="inlineStr">
        <is>
          <t>Leaf damage and staining</t>
        </is>
      </c>
      <c r="F28" s="2" t="inlineStr">
        <is>
          <t>SRC:WUR p.14</t>
        </is>
      </c>
    </row>
    <row r="29">
      <c r="A29" s="3" t="inlineStr">
        <is>
          <t>G-CO2-ESCAPE</t>
        </is>
      </c>
      <c r="B29" s="3" t="inlineStr">
        <is>
          <t>INFO</t>
        </is>
      </c>
      <c r="C29" s="3" t="inlineStr">
        <is>
          <t>M1</t>
        </is>
      </c>
      <c r="D29" s="3" t="inlineStr">
        <is>
          <t>Any acid dose</t>
        </is>
      </c>
      <c r="E29" s="3" t="inlineStr">
        <is>
          <t>Reaction must occur in an open mixing tank</t>
        </is>
      </c>
      <c r="F29" s="3" t="inlineStr">
        <is>
          <t>SRC:WUR p.13</t>
        </is>
      </c>
    </row>
    <row r="30">
      <c r="A30" s="2" t="inlineStr">
        <is>
          <t>G-FE-NOT-CREDITED</t>
        </is>
      </c>
      <c r="B30" s="2" t="inlineStr">
        <is>
          <t>INFO</t>
        </is>
      </c>
      <c r="C30" s="2" t="inlineStr">
        <is>
          <t>M1</t>
        </is>
      </c>
      <c r="D30" s="2" t="inlineStr">
        <is>
          <t>Base water contains Fe</t>
        </is>
      </c>
      <c r="E30" s="2" t="inlineStr">
        <is>
          <t>Never counted as nutrient</t>
        </is>
      </c>
      <c r="F30" s="2" t="inlineStr">
        <is>
          <t>SRC:WUR p.13</t>
        </is>
      </c>
    </row>
    <row r="31">
      <c r="A31" s="3" t="inlineStr">
        <is>
          <t>G-TANK-PH-CHECK</t>
        </is>
      </c>
      <c r="B31" s="3" t="inlineStr">
        <is>
          <t>INFO</t>
        </is>
      </c>
      <c r="C31" s="3" t="inlineStr">
        <is>
          <t>M6</t>
        </is>
      </c>
      <c r="D31" s="3" t="inlineStr">
        <is>
          <t>Every tank bill</t>
        </is>
      </c>
      <c r="E31" s="3" t="inlineStr">
        <is>
          <t>Tank A pH 3.5-5.0, tank B below 5.0</t>
        </is>
      </c>
      <c r="F31" s="3" t="inlineStr">
        <is>
          <t>SRC:WUR p.31</t>
        </is>
      </c>
    </row>
    <row r="32">
      <c r="A32" s="2" t="inlineStr">
        <is>
          <t>G-OO-DECLARE</t>
        </is>
      </c>
      <c r="B32" s="2" t="inlineStr">
        <is>
          <t>INFO</t>
        </is>
      </c>
      <c r="C32" s="2" t="inlineStr">
        <is>
          <t>M6</t>
        </is>
      </c>
      <c r="D32" s="2" t="inlineStr">
        <is>
          <t>EDDHA / HBED selected</t>
        </is>
      </c>
      <c r="E32" s="2" t="inlineStr">
        <is>
          <t>Check declared ortho-ortho content</t>
        </is>
      </c>
      <c r="F32" s="2" t="inlineStr">
        <is>
          <t>SRC:WUR p.36</t>
        </is>
      </c>
    </row>
    <row r="33">
      <c r="A33" s="3" t="inlineStr">
        <is>
          <t>G-ZN-SOURCE</t>
        </is>
      </c>
      <c r="B33" s="3" t="inlineStr">
        <is>
          <t>INFO</t>
        </is>
      </c>
      <c r="C33" s="3" t="inlineStr">
        <is>
          <t>M1</t>
        </is>
      </c>
      <c r="D33" s="3" t="inlineStr">
        <is>
          <t>Base water contains Zn</t>
        </is>
      </c>
      <c r="E33" s="3" t="inlineStr">
        <is>
          <t>Likely galvanised gutters</t>
        </is>
      </c>
      <c r="F33" s="3" t="inlineStr">
        <is>
          <t>SRC:WUR p.14</t>
        </is>
      </c>
    </row>
    <row r="34">
      <c r="A34" s="2" t="inlineStr">
        <is>
          <t>G-CU-SOURCE</t>
        </is>
      </c>
      <c r="B34" s="2" t="inlineStr">
        <is>
          <t>INFO</t>
        </is>
      </c>
      <c r="C34" s="2" t="inlineStr">
        <is>
          <t>M1</t>
        </is>
      </c>
      <c r="D34" s="2" t="inlineStr">
        <is>
          <t>Base water contains Cu</t>
        </is>
      </c>
      <c r="E34" s="2" t="inlineStr">
        <is>
          <t>Likely copper plumbing</t>
        </is>
      </c>
      <c r="F34" s="2" t="inlineStr">
        <is>
          <t>SRC:WUR p.14</t>
        </is>
      </c>
    </row>
    <row r="35">
      <c r="A35" s="3" t="inlineStr">
        <is>
          <t>G-DRYBACK-SUPPRESSED</t>
        </is>
      </c>
      <c r="B35" s="3" t="inlineStr">
        <is>
          <t>INFO</t>
        </is>
      </c>
      <c r="C35" s="3" t="inlineStr">
        <is>
          <t>M5</t>
        </is>
      </c>
      <c r="D35" s="3" t="inlineStr">
        <is>
          <t>Wash cycle active</t>
        </is>
      </c>
      <c r="E35" s="3" t="inlineStr">
        <is>
          <t>Dry-back and leaching are contradictory</t>
        </is>
      </c>
      <c r="F35" s="3" t="inlineStr">
        <is>
          <t>SRC:PRACTICE</t>
        </is>
      </c>
    </row>
    <row r="36">
      <c r="A36" s="2" t="inlineStr">
        <is>
          <t>G-DRYBACK-NA-SOIL</t>
        </is>
      </c>
      <c r="B36" s="2" t="inlineStr">
        <is>
          <t>INFO</t>
        </is>
      </c>
      <c r="C36" s="2" t="inlineStr">
        <is>
          <t>M5</t>
        </is>
      </c>
      <c r="D36" s="2" t="inlineStr">
        <is>
          <t>Soil substrate</t>
        </is>
      </c>
      <c r="E36" s="2" t="inlineStr">
        <is>
          <t>Dry-back does not transfer to soil</t>
        </is>
      </c>
      <c r="F36" s="2" t="inlineStr">
        <is>
          <t>SRC:PRACTICE</t>
        </is>
      </c>
    </row>
    <row r="38">
      <c r="A38" s="4" t="inlineStr">
        <is>
          <t>DIV-2/DIV-3: the brief's G-ACID-POISON and G-SALINITY-MELTDOWN are one merged gate (G-MELTDOWN); G-K-CA-ANTAGONISM (dK&gt;2.0) is NOT implemented and was not fabricated. 说明书部分闸门名称与实现不一致。</t>
        </is>
      </c>
    </row>
  </sheetData>
  <conditionalFormatting sqref="B2:B36">
    <cfRule type="cellIs" priority="1" operator="equal" dxfId="0">
      <formula>"BLOCKING"</formula>
    </cfRule>
    <cfRule type="cellIs" priority="2" operator="equal" dxfId="1">
      <formula>"CRITICAL"</formula>
    </cfRule>
    <cfRule type="cellIs" priority="3" operator="equal" dxfId="2">
      <formula>"INFO"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2026-08-21T17:14:58Z</dcterms:created>
  <dcterms:modified xsi:type="dcterms:W3CDTF">2026-08-21T17:14:58Z</dcterms:modified>
</cp:coreProperties>
</file>